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refreshAllConnections="1"/>
  <mc:AlternateContent xmlns:mc="http://schemas.openxmlformats.org/markup-compatibility/2006">
    <mc:Choice Requires="x15">
      <x15ac:absPath xmlns:x15ac="http://schemas.microsoft.com/office/spreadsheetml/2010/11/ac" url="C:\MIC_060\Template\HOMay3\Excel\"/>
    </mc:Choice>
  </mc:AlternateContent>
  <bookViews>
    <workbookView xWindow="0" yWindow="0" windowWidth="20490" windowHeight="7425"/>
  </bookViews>
  <sheets>
    <sheet name="个人资金跟踪器" sheetId="1" r:id="rId1"/>
    <sheet name="每月摘要" sheetId="2" r:id="rId2"/>
    <sheet name="图表数据" sheetId="3" r:id="rId3"/>
  </sheets>
  <definedNames>
    <definedName name="AccountList">CashSummaryTable[帐户]</definedName>
    <definedName name="PercentageAvailable">个人资金跟踪器!$B$22</definedName>
    <definedName name="_xlnm.Print_Titles" localSheetId="1">每月摘要!$B:$B,每月摘要!$17:$18</definedName>
    <definedName name="Slicer_Account1">#N/A</definedName>
    <definedName name="Slicer_Description2">#N/A</definedName>
    <definedName name="切片器_说明">#N/A</definedName>
    <definedName name="切片器_帐户">#N/A</definedName>
  </definedNames>
  <calcPr calcId="152511"/>
  <pivotCaches>
    <pivotCache cacheId="5"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5:slicerCaches>
    </ext>
  </extLst>
</workbook>
</file>

<file path=xl/calcChain.xml><?xml version="1.0" encoding="utf-8"?>
<calcChain xmlns="http://schemas.openxmlformats.org/spreadsheetml/2006/main">
  <c r="F7" i="1" l="1"/>
  <c r="G7" i="1" s="1"/>
  <c r="E8" i="1" l="1"/>
  <c r="F5" i="1"/>
  <c r="G5" i="1" s="1"/>
  <c r="F6" i="1"/>
  <c r="G6" i="1" s="1"/>
  <c r="G8" i="1" l="1"/>
  <c r="B22" i="1" s="1"/>
  <c r="F8" i="1"/>
</calcChain>
</file>

<file path=xl/sharedStrings.xml><?xml version="1.0" encoding="utf-8"?>
<sst xmlns="http://schemas.openxmlformats.org/spreadsheetml/2006/main" count="63" uniqueCount="35">
  <si>
    <t>总计</t>
  </si>
  <si>
    <t>1月</t>
  </si>
  <si>
    <t>2月</t>
  </si>
  <si>
    <t>3月</t>
  </si>
  <si>
    <t>4月</t>
  </si>
  <si>
    <t>5月</t>
  </si>
  <si>
    <t>列标签</t>
  </si>
  <si>
    <t>行标签</t>
  </si>
  <si>
    <t>个人资金跟踪器</t>
  </si>
  <si>
    <t>现金摘要</t>
  </si>
  <si>
    <t>帐户</t>
  </si>
  <si>
    <t>起始现金</t>
  </si>
  <si>
    <t>支出总计</t>
  </si>
  <si>
    <t>剩余现金</t>
  </si>
  <si>
    <t xml:space="preserve">支票帐户 </t>
  </si>
  <si>
    <t xml:space="preserve">储蓄帐户 </t>
  </si>
  <si>
    <t xml:space="preserve">其他 </t>
  </si>
  <si>
    <t xml:space="preserve"> 总计  </t>
  </si>
  <si>
    <t>已支付的现金</t>
  </si>
  <si>
    <t>日期</t>
  </si>
  <si>
    <t>说明</t>
  </si>
  <si>
    <t>金额</t>
  </si>
  <si>
    <t xml:space="preserve">ATM 取款 </t>
  </si>
  <si>
    <t xml:space="preserve">午餐 </t>
  </si>
  <si>
    <t xml:space="preserve">车贷 </t>
  </si>
  <si>
    <t xml:space="preserve">电子支付 </t>
  </si>
  <si>
    <t xml:space="preserve">晚餐 </t>
  </si>
  <si>
    <t xml:space="preserve">提取现金 </t>
  </si>
  <si>
    <t>剩余现金：</t>
    <phoneticPr fontId="4" type="noConversion"/>
  </si>
  <si>
    <t>求和项:金额</t>
  </si>
  <si>
    <t>支出摘要</t>
  </si>
  <si>
    <t>每月摘要</t>
  </si>
  <si>
    <t>帐户摘要</t>
  </si>
  <si>
    <t>数据透视图数据</t>
  </si>
  <si>
    <t>此数据透视表是“每月摘要”工作表上的“帐户摘要”数据透视图的数据源</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</si>
</sst>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_(&quot;$&quot;* #,##0.00_);_(&quot;$&quot;* !(#,##0.00!);_(&quot;$&quot;* &quot;-&quot;??_);_(@_)"/>
    <numFmt numFmtId="177" formatCode="0.00_);!(0.00!)"/>
    <numFmt numFmtId="178" formatCode="_(@_)"/>
  </numFmts>
  <fonts count="15" x14ac:knownFonts="1">
    <font>
      <sz val="10"/>
      <color theme="1"/>
      <name val="宋体"/>
      <family val="2"/>
      <scheme val="minor"/>
    </font>
    <font>
      <sz val="11"/>
      <color theme="1"/>
      <name val="宋体"/>
      <family val="2"/>
      <scheme val="minor"/>
    </font>
    <font>
      <sz val="18"/>
      <color theme="3"/>
      <name val="宋体"/>
      <family val="1"/>
      <scheme val="major"/>
    </font>
    <font>
      <sz val="22"/>
      <color theme="5"/>
      <name val="宋体"/>
      <family val="2"/>
      <scheme val="major"/>
    </font>
    <font>
      <sz val="9"/>
      <name val="宋体"/>
      <family val="3"/>
      <charset val="134"/>
      <scheme val="minor"/>
    </font>
    <font>
      <sz val="10"/>
      <color theme="1"/>
      <name val="Microsoft YaHei UI"/>
      <family val="2"/>
      <charset val="134"/>
    </font>
    <font>
      <sz val="22"/>
      <color theme="5"/>
      <name val="Microsoft YaHei UI"/>
      <family val="2"/>
      <charset val="134"/>
    </font>
    <font>
      <sz val="18"/>
      <color theme="3"/>
      <name val="Microsoft YaHei UI"/>
      <family val="2"/>
      <charset val="134"/>
    </font>
    <font>
      <sz val="12"/>
      <color theme="1"/>
      <name val="Microsoft YaHei UI"/>
      <family val="2"/>
      <charset val="134"/>
    </font>
    <font>
      <i/>
      <sz val="13"/>
      <color theme="1" tint="0.34998626667073579"/>
      <name val="Microsoft YaHei UI"/>
      <family val="2"/>
      <charset val="134"/>
    </font>
    <font>
      <i/>
      <sz val="22"/>
      <color theme="3"/>
      <name val="Microsoft YaHei UI"/>
      <family val="2"/>
      <charset val="134"/>
    </font>
    <font>
      <i/>
      <sz val="24"/>
      <color theme="1"/>
      <name val="Microsoft YaHei UI"/>
      <family val="2"/>
      <charset val="134"/>
    </font>
    <font>
      <sz val="14"/>
      <color theme="3"/>
      <name val="Microsoft YaHei UI"/>
      <family val="2"/>
      <charset val="134"/>
    </font>
    <font>
      <i/>
      <sz val="10"/>
      <color theme="1"/>
      <name val="Microsoft YaHei UI"/>
      <family val="2"/>
      <charset val="134"/>
    </font>
    <font>
      <sz val="9"/>
      <color theme="1"/>
      <name val="Microsoft YaHei UI"/>
      <family val="2"/>
      <charset val="134"/>
    </font>
  </fonts>
  <fills count="2">
    <fill>
      <patternFill patternType="none"/>
    </fill>
    <fill>
      <patternFill patternType="gray125"/>
    </fill>
  </fills>
  <borders count="2">
    <border>
      <left/>
      <right/>
      <top/>
      <bottom/>
      <diagonal/>
    </border>
    <border>
      <left/>
      <right/>
      <top/>
      <bottom style="dotted">
        <color theme="0" tint="-0.34998626667073579"/>
      </bottom>
      <diagonal/>
    </border>
  </borders>
  <cellStyleXfs count="5">
    <xf numFmtId="0" fontId="0" fillId="0" borderId="0"/>
    <xf numFmtId="176" fontId="1" fillId="0" borderId="0" applyFont="0" applyFill="0" applyBorder="0" applyAlignment="0" applyProtection="0"/>
    <xf numFmtId="0" fontId="3" fillId="0" borderId="1" applyNumberFormat="0" applyFill="0" applyAlignment="0" applyProtection="0"/>
    <xf numFmtId="9" fontId="1" fillId="0" borderId="0" applyFont="0" applyFill="0" applyBorder="0" applyAlignment="0" applyProtection="0"/>
    <xf numFmtId="0" fontId="2" fillId="0" borderId="0" applyNumberFormat="0" applyFill="0" applyBorder="0" applyAlignment="0" applyProtection="0"/>
  </cellStyleXfs>
  <cellXfs count="37">
    <xf numFmtId="0" fontId="0" fillId="0" borderId="0" xfId="0"/>
    <xf numFmtId="0" fontId="5" fillId="0" borderId="0" xfId="0" applyFont="1"/>
    <xf numFmtId="0" fontId="6" fillId="0" borderId="1" xfId="2" applyFont="1" applyBorder="1" applyAlignment="1">
      <alignment horizontal="left" vertical="center"/>
    </xf>
    <xf numFmtId="0" fontId="5" fillId="0" borderId="1" xfId="0" applyFont="1" applyBorder="1"/>
    <xf numFmtId="0" fontId="6" fillId="0" borderId="0" xfId="2" applyFont="1" applyBorder="1"/>
    <xf numFmtId="0" fontId="7" fillId="0" borderId="0" xfId="4" applyFont="1" applyBorder="1" applyAlignment="1">
      <alignment vertical="center"/>
    </xf>
    <xf numFmtId="0" fontId="8" fillId="0" borderId="0" xfId="0" applyFont="1" applyFill="1" applyBorder="1" applyAlignment="1">
      <alignment vertical="center"/>
    </xf>
    <xf numFmtId="0" fontId="8" fillId="0" borderId="0" xfId="0" applyFont="1" applyFill="1" applyBorder="1" applyAlignment="1">
      <alignment horizontal="right" vertical="center"/>
    </xf>
    <xf numFmtId="178" fontId="5" fillId="0" borderId="0" xfId="0" applyNumberFormat="1" applyFont="1" applyFill="1" applyBorder="1" applyAlignment="1">
      <alignment horizontal="left"/>
    </xf>
    <xf numFmtId="177" fontId="5" fillId="0" borderId="0" xfId="1" applyNumberFormat="1" applyFont="1" applyFill="1" applyBorder="1"/>
    <xf numFmtId="177" fontId="5" fillId="0" borderId="0" xfId="0" applyNumberFormat="1" applyFont="1" applyFill="1" applyBorder="1"/>
    <xf numFmtId="0" fontId="8" fillId="0" borderId="0" xfId="0" applyFont="1" applyFill="1" applyBorder="1" applyAlignment="1">
      <alignment horizontal="left" vertical="center" indent="1"/>
    </xf>
    <xf numFmtId="0" fontId="8" fillId="0" borderId="0" xfId="0" applyFont="1" applyFill="1" applyBorder="1" applyAlignment="1">
      <alignment horizontal="center" vertical="center"/>
    </xf>
    <xf numFmtId="14" fontId="5" fillId="0" borderId="0" xfId="0" applyNumberFormat="1" applyFont="1" applyAlignment="1">
      <alignment horizontal="left" indent="2"/>
    </xf>
    <xf numFmtId="178" fontId="5" fillId="0" borderId="0" xfId="0" applyNumberFormat="1" applyFont="1" applyAlignment="1">
      <alignment horizontal="left" indent="1"/>
    </xf>
    <xf numFmtId="40" fontId="5" fillId="0" borderId="0" xfId="1" applyNumberFormat="1" applyFont="1" applyAlignment="1">
      <alignment horizontal="right" indent="1"/>
    </xf>
    <xf numFmtId="9" fontId="11" fillId="0" borderId="0" xfId="3" applyFont="1" applyAlignment="1">
      <alignment vertical="center"/>
    </xf>
    <xf numFmtId="0" fontId="6" fillId="0" borderId="1" xfId="2" applyFont="1" applyBorder="1" applyAlignment="1">
      <alignment vertical="center"/>
    </xf>
    <xf numFmtId="0" fontId="5" fillId="0" borderId="0" xfId="0" applyFont="1" applyBorder="1"/>
    <xf numFmtId="0" fontId="6" fillId="0" borderId="1" xfId="2" applyFont="1"/>
    <xf numFmtId="0" fontId="7" fillId="0" borderId="0" xfId="4" applyFont="1" applyBorder="1" applyAlignment="1"/>
    <xf numFmtId="0" fontId="7" fillId="0" borderId="0" xfId="4" applyFont="1" applyBorder="1"/>
    <xf numFmtId="0" fontId="12" fillId="0" borderId="0" xfId="0" pivotButton="1" applyFont="1" applyAlignment="1">
      <alignment horizontal="left" vertical="top"/>
    </xf>
    <xf numFmtId="0" fontId="5" fillId="0" borderId="0" xfId="0" applyFont="1" applyAlignment="1">
      <alignment horizontal="center"/>
    </xf>
    <xf numFmtId="0" fontId="5" fillId="0" borderId="0" xfId="0" applyFont="1" applyAlignment="1">
      <alignment horizontal="center" vertical="center" wrapText="1"/>
    </xf>
    <xf numFmtId="0" fontId="8" fillId="0" borderId="0" xfId="0" applyFont="1" applyAlignment="1">
      <alignment horizontal="center" vertical="center" wrapText="1"/>
    </xf>
    <xf numFmtId="14" fontId="5" fillId="0" borderId="0" xfId="0" applyNumberFormat="1" applyFont="1" applyAlignment="1">
      <alignment horizontal="left"/>
    </xf>
    <xf numFmtId="0" fontId="5" fillId="0" borderId="0" xfId="0" applyNumberFormat="1" applyFont="1"/>
    <xf numFmtId="0" fontId="5" fillId="0" borderId="0" xfId="0" applyFont="1" applyAlignment="1">
      <alignment horizontal="left" indent="1"/>
    </xf>
    <xf numFmtId="0" fontId="13" fillId="0" borderId="0" xfId="0" applyFont="1" applyAlignment="1">
      <alignment vertical="center"/>
    </xf>
    <xf numFmtId="0" fontId="14" fillId="0" borderId="0" xfId="0" pivotButton="1" applyFont="1"/>
    <xf numFmtId="0" fontId="5" fillId="0" borderId="0" xfId="0" pivotButton="1" applyFont="1"/>
    <xf numFmtId="0" fontId="8" fillId="0" borderId="0" xfId="0" applyFont="1"/>
    <xf numFmtId="177" fontId="5" fillId="0" borderId="0" xfId="0" applyNumberFormat="1" applyFont="1"/>
    <xf numFmtId="9" fontId="10" fillId="0" borderId="0" xfId="3" applyFont="1" applyAlignment="1">
      <alignment horizontal="center" vertical="center"/>
    </xf>
    <xf numFmtId="0" fontId="5" fillId="0" borderId="0" xfId="0" applyFont="1" applyAlignment="1">
      <alignment horizontal="center"/>
    </xf>
    <xf numFmtId="0" fontId="9" fillId="0" borderId="0" xfId="0" applyFont="1" applyAlignment="1">
      <alignment horizontal="center" wrapText="1"/>
    </xf>
  </cellXfs>
  <cellStyles count="5">
    <cellStyle name="百分比" xfId="3" builtinId="5"/>
    <cellStyle name="标题" xfId="2" builtinId="15" customBuiltin="1"/>
    <cellStyle name="标题 1" xfId="4" builtinId="16" customBuiltin="1"/>
    <cellStyle name="常规" xfId="0" builtinId="0" customBuiltin="1"/>
    <cellStyle name="货币" xfId="1" builtinId="4"/>
  </cellStyles>
  <dxfs count="140">
    <dxf>
      <font>
        <sz val="9"/>
      </font>
    </dxf>
    <dxf>
      <font>
        <sz val="12"/>
      </font>
    </dxf>
    <dxf>
      <numFmt numFmtId="177" formatCode="0.00_);!(0.00!)"/>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sz val="9"/>
      </font>
    </dxf>
    <dxf>
      <font>
        <sz val="12"/>
      </font>
    </dxf>
    <dxf>
      <numFmt numFmtId="177" formatCode="0.00_);!(0.00!)"/>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sz val="9"/>
      </font>
    </dxf>
    <dxf>
      <font>
        <sz val="12"/>
      </font>
    </dxf>
    <dxf>
      <numFmt numFmtId="177" formatCode="0.00_);!(0.00!)"/>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sz val="9"/>
      </font>
    </dxf>
    <dxf>
      <font>
        <sz val="12"/>
      </font>
    </dxf>
    <dxf>
      <numFmt numFmtId="177" formatCode="0.00_);!(0.00!)"/>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sz val="9"/>
      </font>
    </dxf>
    <dxf>
      <font>
        <sz val="12"/>
      </font>
    </dxf>
    <dxf>
      <numFmt numFmtId="177" formatCode="0.00_);!(0.00!)"/>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sz val="9"/>
      </font>
    </dxf>
    <dxf>
      <font>
        <sz val="12"/>
      </font>
    </dxf>
    <dxf>
      <numFmt numFmtId="177" formatCode="0.00_);!(0.00!)"/>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sz val="9"/>
      </font>
    </dxf>
    <dxf>
      <font>
        <sz val="12"/>
      </font>
    </dxf>
    <dxf>
      <numFmt numFmtId="177" formatCode="0.00_);!(0.00!)"/>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sz val="9"/>
      </font>
    </dxf>
    <dxf>
      <font>
        <sz val="12"/>
      </font>
    </dxf>
    <dxf>
      <numFmt numFmtId="177" formatCode="0.00_);!(0.00!)"/>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b val="0"/>
        <i val="0"/>
        <strike val="0"/>
        <condense val="0"/>
        <extend val="0"/>
        <outline val="0"/>
        <shadow val="0"/>
        <u val="none"/>
        <vertAlign val="baseline"/>
        <sz val="10"/>
        <color theme="1"/>
        <name val="Microsoft YaHei UI"/>
        <scheme val="none"/>
      </font>
      <numFmt numFmtId="177" formatCode="0.00_);!(0.00!)"/>
      <fill>
        <patternFill patternType="none">
          <fgColor indexed="64"/>
          <bgColor indexed="65"/>
        </patternFill>
      </fill>
    </dxf>
    <dxf>
      <font>
        <strike val="0"/>
        <outline val="0"/>
        <shadow val="0"/>
        <u val="none"/>
        <vertAlign val="baseline"/>
        <sz val="10"/>
        <color theme="1"/>
        <name val="Microsoft YaHei UI"/>
        <scheme val="none"/>
      </font>
      <numFmt numFmtId="177" formatCode="0.00_);!(0.00!)"/>
    </dxf>
    <dxf>
      <font>
        <b val="0"/>
        <i val="0"/>
        <strike val="0"/>
        <condense val="0"/>
        <extend val="0"/>
        <outline val="0"/>
        <shadow val="0"/>
        <u val="none"/>
        <vertAlign val="baseline"/>
        <sz val="10"/>
        <color theme="1"/>
        <name val="Microsoft YaHei UI"/>
        <scheme val="none"/>
      </font>
      <numFmt numFmtId="177" formatCode="0.00_);!(0.00!)"/>
      <fill>
        <patternFill patternType="none">
          <fgColor indexed="64"/>
          <bgColor indexed="65"/>
        </patternFill>
      </fill>
    </dxf>
    <dxf>
      <font>
        <strike val="0"/>
        <outline val="0"/>
        <shadow val="0"/>
        <u val="none"/>
        <vertAlign val="baseline"/>
        <sz val="10"/>
        <color theme="1"/>
        <name val="Microsoft YaHei UI"/>
        <scheme val="none"/>
      </font>
      <numFmt numFmtId="177" formatCode="0.00_);!(0.00!)"/>
    </dxf>
    <dxf>
      <font>
        <b val="0"/>
        <i val="0"/>
        <strike val="0"/>
        <condense val="0"/>
        <extend val="0"/>
        <outline val="0"/>
        <shadow val="0"/>
        <u val="none"/>
        <vertAlign val="baseline"/>
        <sz val="10"/>
        <color theme="1"/>
        <name val="Microsoft YaHei UI"/>
        <scheme val="none"/>
      </font>
      <numFmt numFmtId="177" formatCode="0.00_);!(0.00!)"/>
      <fill>
        <patternFill patternType="none">
          <fgColor indexed="64"/>
          <bgColor indexed="65"/>
        </patternFill>
      </fill>
    </dxf>
    <dxf>
      <font>
        <strike val="0"/>
        <outline val="0"/>
        <shadow val="0"/>
        <u val="none"/>
        <vertAlign val="baseline"/>
        <sz val="10"/>
        <color theme="1"/>
        <name val="Microsoft YaHei UI"/>
        <scheme val="none"/>
      </font>
      <numFmt numFmtId="177" formatCode="0.00_);!(0.00!)"/>
    </dxf>
    <dxf>
      <font>
        <b val="0"/>
        <i val="0"/>
        <strike val="0"/>
        <condense val="0"/>
        <extend val="0"/>
        <outline val="0"/>
        <shadow val="0"/>
        <u val="none"/>
        <vertAlign val="baseline"/>
        <sz val="10"/>
        <color theme="1"/>
        <name val="Microsoft YaHei UI"/>
        <scheme val="none"/>
      </font>
      <numFmt numFmtId="178" formatCode="_(@_)"/>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0"/>
        <color theme="1"/>
        <name val="Microsoft YaHei UI"/>
        <scheme val="none"/>
      </font>
      <numFmt numFmtId="178" formatCode="_(@_)"/>
      <alignment horizontal="left" vertical="bottom" textRotation="0" wrapText="0" relativeIndent="-1" justifyLastLine="0" shrinkToFit="0" readingOrder="0"/>
    </dxf>
    <dxf>
      <font>
        <strike val="0"/>
        <outline val="0"/>
        <shadow val="0"/>
        <u val="none"/>
        <vertAlign val="baseline"/>
        <sz val="10"/>
        <color theme="1"/>
        <name val="Microsoft YaHei UI"/>
        <scheme val="none"/>
      </font>
    </dxf>
    <dxf>
      <font>
        <strike val="0"/>
        <outline val="0"/>
        <shadow val="0"/>
        <u val="none"/>
        <vertAlign val="baseline"/>
        <sz val="10"/>
        <color theme="1"/>
        <name val="Microsoft YaHei UI"/>
        <scheme val="none"/>
      </font>
    </dxf>
    <dxf>
      <font>
        <strike val="0"/>
        <outline val="0"/>
        <shadow val="0"/>
        <u val="none"/>
        <vertAlign val="baseline"/>
        <sz val="12"/>
        <color theme="1"/>
        <name val="Microsoft YaHei UI"/>
        <scheme val="none"/>
      </font>
      <alignment vertical="center" textRotation="0" wrapText="0" indent="0" justifyLastLine="0" shrinkToFit="0" readingOrder="0"/>
    </dxf>
    <dxf>
      <font>
        <b val="0"/>
        <i val="0"/>
        <strike val="0"/>
        <condense val="0"/>
        <extend val="0"/>
        <outline val="0"/>
        <shadow val="0"/>
        <u val="none"/>
        <vertAlign val="baseline"/>
        <sz val="10"/>
        <color theme="1"/>
        <name val="Calibri"/>
        <scheme val="minor"/>
      </font>
    </dxf>
    <dxf>
      <font>
        <strike val="0"/>
        <outline val="0"/>
        <shadow val="0"/>
        <u val="none"/>
        <vertAlign val="baseline"/>
        <sz val="10"/>
        <color theme="1"/>
        <name val="Microsoft YaHei UI"/>
        <scheme val="none"/>
      </font>
      <numFmt numFmtId="178" formatCode="_(@_)"/>
      <alignment horizontal="left" vertical="bottom" textRotation="0" wrapText="0" indent="1" justifyLastLine="0" shrinkToFit="0" readingOrder="0"/>
    </dxf>
    <dxf>
      <font>
        <b val="0"/>
        <i val="0"/>
        <strike val="0"/>
        <condense val="0"/>
        <extend val="0"/>
        <outline val="0"/>
        <shadow val="0"/>
        <u val="none"/>
        <vertAlign val="baseline"/>
        <sz val="10"/>
        <color theme="1"/>
        <name val="Calibri"/>
        <scheme val="minor"/>
      </font>
      <numFmt numFmtId="179" formatCode="#,##0.00_);[Red]!(#,##0.00!)"/>
      <alignment horizontal="right" vertical="bottom" textRotation="0" wrapText="0" indent="1" justifyLastLine="0" shrinkToFit="0" readingOrder="0"/>
    </dxf>
    <dxf>
      <font>
        <strike val="0"/>
        <outline val="0"/>
        <shadow val="0"/>
        <u val="none"/>
        <vertAlign val="baseline"/>
        <sz val="10"/>
        <color theme="1"/>
        <name val="Microsoft YaHei UI"/>
        <scheme val="none"/>
      </font>
      <numFmt numFmtId="179" formatCode="#,##0.00_);[Red]!(#,##0.00!)"/>
      <alignment horizontal="right" vertical="bottom" textRotation="0" wrapText="0" indent="1" justifyLastLine="0" shrinkToFit="0" readingOrder="0"/>
    </dxf>
    <dxf>
      <font>
        <b val="0"/>
        <i val="0"/>
        <strike val="0"/>
        <condense val="0"/>
        <extend val="0"/>
        <outline val="0"/>
        <shadow val="0"/>
        <u val="none"/>
        <vertAlign val="baseline"/>
        <sz val="10"/>
        <color theme="1"/>
        <name val="Calibri"/>
        <scheme val="minor"/>
      </font>
    </dxf>
    <dxf>
      <font>
        <strike val="0"/>
        <outline val="0"/>
        <shadow val="0"/>
        <u val="none"/>
        <vertAlign val="baseline"/>
        <sz val="10"/>
        <color theme="1"/>
        <name val="Microsoft YaHei UI"/>
        <scheme val="none"/>
      </font>
      <numFmt numFmtId="178" formatCode="_(@_)"/>
      <alignment horizontal="left" vertical="bottom" textRotation="0" wrapText="0" indent="1" justifyLastLine="0" shrinkToFit="0" readingOrder="0"/>
    </dxf>
    <dxf>
      <font>
        <b val="0"/>
        <i val="0"/>
        <strike val="0"/>
        <condense val="0"/>
        <extend val="0"/>
        <outline val="0"/>
        <shadow val="0"/>
        <u val="none"/>
        <vertAlign val="baseline"/>
        <sz val="10"/>
        <color theme="1"/>
        <name val="Calibri"/>
        <scheme val="minor"/>
      </font>
      <alignment horizontal="left" vertical="bottom" textRotation="0" wrapText="0" indent="1" justifyLastLine="0" shrinkToFit="0" readingOrder="0"/>
    </dxf>
    <dxf>
      <font>
        <strike val="0"/>
        <outline val="0"/>
        <shadow val="0"/>
        <u val="none"/>
        <vertAlign val="baseline"/>
        <sz val="10"/>
        <color theme="1"/>
        <name val="Microsoft YaHei UI"/>
        <scheme val="none"/>
      </font>
      <numFmt numFmtId="180" formatCode="m/d/yyyy"/>
      <alignment horizontal="left" vertical="bottom" textRotation="0" wrapText="0" indent="2" justifyLastLine="0" shrinkToFit="0" readingOrder="0"/>
    </dxf>
    <dxf>
      <font>
        <strike val="0"/>
        <outline val="0"/>
        <shadow val="0"/>
        <u val="none"/>
        <vertAlign val="baseline"/>
        <name val="Microsoft YaHei UI"/>
        <scheme val="none"/>
      </font>
    </dxf>
    <dxf>
      <font>
        <strike val="0"/>
        <outline val="0"/>
        <shadow val="0"/>
        <u val="none"/>
        <vertAlign val="baseline"/>
        <sz val="10"/>
        <color theme="1"/>
        <name val="Microsoft YaHei UI"/>
        <scheme val="none"/>
      </font>
    </dxf>
    <dxf>
      <font>
        <b val="0"/>
        <i val="0"/>
        <strike val="0"/>
        <condense val="0"/>
        <extend val="0"/>
        <outline val="0"/>
        <shadow val="0"/>
        <u val="none"/>
        <vertAlign val="baseline"/>
        <sz val="12"/>
        <color theme="1"/>
        <name val="Microsoft YaHei UI"/>
        <scheme val="none"/>
      </font>
      <fill>
        <patternFill patternType="none">
          <fgColor indexed="64"/>
          <bgColor indexed="65"/>
        </patternFill>
      </fill>
      <alignment horizontal="right" vertical="center" textRotation="0" wrapText="0" indent="0" justifyLastLine="0" shrinkToFit="0" readingOrder="0"/>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numFmt numFmtId="177" formatCode="0.00_);!(0.00!)"/>
    </dxf>
    <dxf>
      <font>
        <sz val="12"/>
      </font>
    </dxf>
    <dxf>
      <font>
        <sz val="9"/>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alignment horizontal="right" readingOrder="0"/>
    </dxf>
    <dxf>
      <font>
        <sz val="14"/>
      </font>
    </dxf>
    <dxf>
      <alignment horizontal="left" readingOrder="0"/>
    </dxf>
    <dxf>
      <font>
        <b val="0"/>
        <i val="0"/>
        <strike val="0"/>
        <condense val="0"/>
        <extend val="0"/>
        <outline val="0"/>
        <shadow val="0"/>
        <u val="none"/>
        <vertAlign val="baseline"/>
        <sz val="18"/>
        <color theme="3"/>
        <name val="Cambria"/>
        <scheme val="major"/>
      </font>
    </dxf>
    <dxf>
      <font>
        <sz val="12"/>
      </font>
    </dxf>
    <dxf>
      <alignment vertical="top" readingOrder="0"/>
    </dxf>
    <dxf>
      <font>
        <sz val="8"/>
      </font>
    </dxf>
    <dxf>
      <font>
        <color rgb="FFFF0000"/>
      </font>
    </dxf>
    <dxf>
      <font>
        <color rgb="FFFFC000"/>
      </font>
    </dxf>
    <dxf>
      <font>
        <color rgb="FF00B050"/>
      </font>
    </dxf>
    <dxf>
      <font>
        <b val="0"/>
        <i val="0"/>
        <color theme="3"/>
      </font>
    </dxf>
    <dxf>
      <font>
        <color theme="1"/>
      </font>
      <fill>
        <patternFill>
          <bgColor theme="6" tint="0.79998168889431442"/>
        </patternFill>
      </fill>
      <border>
        <bottom style="medium">
          <color theme="0" tint="-0.14996795556505021"/>
        </bottom>
        <vertical style="thick">
          <color theme="0"/>
        </vertical>
      </border>
    </dxf>
    <dxf>
      <font>
        <b val="0"/>
        <i val="0"/>
        <color theme="3"/>
      </font>
      <border diagonalUp="0" diagonalDown="0">
        <left/>
        <right/>
        <top/>
        <bottom/>
        <vertical/>
        <horizontal/>
      </border>
    </dxf>
    <dxf>
      <font>
        <b val="0"/>
        <i val="0"/>
        <color theme="3"/>
      </font>
      <border>
        <vertical style="thick">
          <color theme="0"/>
        </vertical>
        <horizontal style="thin">
          <color theme="0" tint="-0.14996795556505021"/>
        </horizontal>
      </border>
    </dxf>
    <dxf>
      <font>
        <color theme="1"/>
      </font>
      <fill>
        <patternFill>
          <bgColor theme="6" tint="0.79998168889431442"/>
        </patternFill>
      </fill>
      <border>
        <bottom style="medium">
          <color theme="0" tint="-0.14996795556505021"/>
        </bottom>
        <vertical style="thick">
          <color theme="0"/>
        </vertical>
      </border>
    </dxf>
    <dxf>
      <font>
        <b val="0"/>
        <i val="0"/>
        <color theme="3"/>
      </font>
      <border diagonalUp="0" diagonalDown="0">
        <left/>
        <right/>
        <top style="dotted">
          <color theme="3" tint="0.39994506668294322"/>
        </top>
        <bottom/>
        <vertical/>
        <horizontal/>
      </border>
    </dxf>
    <dxf>
      <font>
        <b val="0"/>
        <i val="0"/>
        <color theme="3"/>
      </font>
      <border>
        <vertical style="thick">
          <color theme="0"/>
        </vertical>
        <horizontal style="thin">
          <color theme="0" tint="-0.14996795556505021"/>
        </horizontal>
      </border>
    </dxf>
    <dxf>
      <font>
        <sz val="12"/>
        <color theme="3"/>
        <name val="Cambria"/>
        <scheme val="major"/>
      </font>
    </dxf>
    <dxf>
      <font>
        <sz val="10"/>
        <color theme="3"/>
      </font>
    </dxf>
    <dxf>
      <border>
        <left style="thick">
          <color theme="0"/>
        </left>
        <right style="thick">
          <color theme="0"/>
        </right>
        <vertical style="thick">
          <color theme="0"/>
        </vertical>
      </border>
    </dxf>
    <dxf>
      <border>
        <left style="thick">
          <color theme="0"/>
        </left>
        <right style="thick">
          <color theme="0"/>
        </right>
        <vertical style="thick">
          <color theme="0"/>
        </vertical>
      </border>
    </dxf>
    <dxf>
      <font>
        <color theme="1"/>
      </font>
      <fill>
        <patternFill>
          <bgColor theme="6" tint="0.79998168889431442"/>
        </patternFill>
      </fill>
      <border>
        <bottom style="medium">
          <color theme="0" tint="-0.14993743705557422"/>
        </bottom>
        <vertical style="thick">
          <color theme="0"/>
        </vertical>
      </border>
    </dxf>
    <dxf>
      <font>
        <b val="0"/>
        <i val="0"/>
      </font>
      <border>
        <top style="dotted">
          <color theme="0" tint="-0.499984740745262"/>
        </top>
      </border>
    </dxf>
    <dxf>
      <font>
        <color theme="3"/>
      </font>
      <border>
        <horizontal style="thin">
          <color theme="0" tint="-0.14996795556505021"/>
        </horizontal>
      </border>
    </dxf>
    <dxf>
      <border>
        <left style="thick">
          <color theme="0"/>
        </left>
        <right style="thick">
          <color theme="0"/>
        </right>
        <vertical style="thick">
          <color theme="0"/>
        </vertical>
      </border>
    </dxf>
    <dxf>
      <border>
        <left style="thick">
          <color theme="0"/>
        </left>
        <right style="thick">
          <color theme="0"/>
        </right>
        <vertical style="thick">
          <color theme="0"/>
        </vertical>
      </border>
    </dxf>
    <dxf>
      <fill>
        <patternFill>
          <bgColor theme="5" tint="0.79998168889431442"/>
        </patternFill>
      </fill>
    </dxf>
    <dxf>
      <font>
        <color theme="1"/>
      </font>
      <fill>
        <patternFill>
          <bgColor theme="6" tint="0.79998168889431442"/>
        </patternFill>
      </fill>
      <border>
        <vertical style="thick">
          <color theme="0"/>
        </vertical>
      </border>
    </dxf>
    <dxf>
      <font>
        <b val="0"/>
        <i val="0"/>
      </font>
      <border>
        <top style="dotted">
          <color theme="0" tint="-0.499984740745262"/>
        </top>
        <bottom/>
      </border>
    </dxf>
    <dxf>
      <font>
        <color theme="3"/>
      </font>
    </dxf>
  </dxfs>
  <tableStyles count="5" defaultTableStyle="Cash Spent Table" defaultPivotStyle="Monthly Summary">
    <tableStyle name="Cash Spent Table" pivot="0" count="6">
      <tableStyleElement type="wholeTable" dxfId="139"/>
      <tableStyleElement type="headerRow" dxfId="138"/>
      <tableStyleElement type="totalRow" dxfId="137"/>
      <tableStyleElement type="secondRowStripe" dxfId="136"/>
      <tableStyleElement type="firstColumnStripe" dxfId="135"/>
      <tableStyleElement type="secondColumnStripe" dxfId="134"/>
    </tableStyle>
    <tableStyle name="CashSummaryTable" pivot="0" count="5">
      <tableStyleElement type="wholeTable" dxfId="133"/>
      <tableStyleElement type="headerRow" dxfId="132"/>
      <tableStyleElement type="totalRow" dxfId="131"/>
      <tableStyleElement type="firstColumnStripe" dxfId="130"/>
      <tableStyleElement type="secondColumnStripe" dxfId="129"/>
    </tableStyle>
    <tableStyle name="Money Tracker" pivot="0" table="0" count="8">
      <tableStyleElement type="wholeTable" dxfId="128"/>
      <tableStyleElement type="headerRow" dxfId="127"/>
    </tableStyle>
    <tableStyle name="Monthly Summary" table="0" count="3">
      <tableStyleElement type="wholeTable" dxfId="126"/>
      <tableStyleElement type="headerRow" dxfId="125"/>
      <tableStyleElement type="totalRow" dxfId="124"/>
    </tableStyle>
    <tableStyle name="Monthly Summary PivotTable data" table="0" count="4">
      <tableStyleElement type="wholeTable" dxfId="123"/>
      <tableStyleElement type="headerRow" dxfId="122"/>
      <tableStyleElement type="totalRow" dxfId="121"/>
      <tableStyleElement type="firstRowSubheading" dxfId="120"/>
    </tableStyle>
  </tableStyles>
  <colors>
    <mruColors>
      <color rgb="FFFF6600"/>
    </mruColors>
  </colors>
  <extLst>
    <ext xmlns:x14="http://schemas.microsoft.com/office/spreadsheetml/2009/9/main" uri="{46F421CA-312F-682f-3DD2-61675219B42D}">
      <x14:dxfs count="6">
        <dxf>
          <fill>
            <patternFill>
              <bgColor theme="2" tint="-9.9948118533890809E-2"/>
            </patternFill>
          </fill>
        </dxf>
        <dxf>
          <fill>
            <patternFill>
              <bgColor theme="2"/>
            </patternFill>
          </fill>
        </dxf>
        <dxf>
          <font>
            <color theme="0" tint="-0.14996795556505021"/>
          </font>
          <fill>
            <patternFill patternType="none">
              <bgColor auto="1"/>
            </patternFill>
          </fill>
          <border>
            <left style="medium">
              <color theme="0" tint="-0.14996795556505021"/>
            </left>
            <right style="medium">
              <color theme="0" tint="-0.14996795556505021"/>
            </right>
            <top style="medium">
              <color theme="0" tint="-0.14996795556505021"/>
            </top>
            <bottom style="medium">
              <color theme="0" tint="-0.14996795556505021"/>
            </bottom>
          </border>
        </dxf>
        <dxf>
          <fill>
            <patternFill>
              <bgColor theme="5" tint="0.59996337778862885"/>
            </patternFill>
          </fill>
        </dxf>
        <dxf>
          <font>
            <color theme="0" tint="-0.24994659260841701"/>
          </font>
          <border>
            <left style="medium">
              <color theme="0" tint="-0.24994659260841701"/>
            </left>
            <right style="medium">
              <color theme="0" tint="-0.24994659260841701"/>
            </right>
            <top style="medium">
              <color theme="0" tint="-0.24994659260841701"/>
            </top>
            <bottom style="medium">
              <color theme="0" tint="-0.24994659260841701"/>
            </bottom>
          </border>
        </dxf>
        <dxf>
          <font>
            <b/>
            <i val="0"/>
            <color theme="0" tint="-0.499984740745262"/>
          </font>
          <fill>
            <patternFill>
              <bgColor theme="0"/>
            </patternFill>
          </fill>
          <border>
            <left style="thin">
              <color theme="0" tint="-0.34998626667073579"/>
            </left>
            <right style="thin">
              <color theme="0" tint="-0.34998626667073579"/>
            </right>
            <top style="thin">
              <color theme="0" tint="-0.34998626667073579"/>
            </top>
            <bottom style="thin">
              <color theme="0" tint="-0.34998626667073579"/>
            </bottom>
          </border>
        </dxf>
      </x14:dxfs>
    </ext>
    <ext xmlns:x14="http://schemas.microsoft.com/office/spreadsheetml/2009/9/main" uri="{EB79DEF2-80B8-43e5-95BD-54CBDDF9020C}">
      <x14:slicerStyles defaultSlicerStyle="Money Tracker">
        <x14:slicerStyle name="Money Tracker">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1"/>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40660063772392913"/>
          <c:y val="3.4000715791347461E-2"/>
          <c:w val="0.63505380577427817"/>
          <c:h val="0.83761439655718151"/>
        </c:manualLayout>
      </c:layout>
      <c:barChart>
        <c:barDir val="col"/>
        <c:grouping val="clustered"/>
        <c:varyColors val="0"/>
        <c:ser>
          <c:idx val="0"/>
          <c:order val="0"/>
          <c:tx>
            <c:v>Cash</c:v>
          </c:tx>
          <c:invertIfNegative val="0"/>
          <c:dPt>
            <c:idx val="0"/>
            <c:invertIfNegative val="0"/>
            <c:bubble3D val="0"/>
            <c:spPr>
              <a:gradFill>
                <a:gsLst>
                  <a:gs pos="25000">
                    <a:srgbClr val="92D050">
                      <a:lumMod val="90000"/>
                    </a:srgbClr>
                  </a:gs>
                  <a:gs pos="50000">
                    <a:srgbClr val="FFC000">
                      <a:lumMod val="99000"/>
                    </a:srgbClr>
                  </a:gs>
                  <a:gs pos="75000">
                    <a:srgbClr val="FF0000">
                      <a:lumMod val="92000"/>
                      <a:lumOff val="8000"/>
                    </a:srgbClr>
                  </a:gs>
                </a:gsLst>
                <a:lin ang="5400000" scaled="0"/>
              </a:gradFill>
            </c:spPr>
          </c:dPt>
          <c:cat>
            <c:strLit>
              <c:ptCount val="1"/>
              <c:pt idx="0">
                <c:v>Cash</c:v>
              </c:pt>
            </c:strLit>
          </c:cat>
          <c:val>
            <c:numRef>
              <c:f>个人资金跟踪器!$B$22</c:f>
              <c:numCache>
                <c:formatCode>0%</c:formatCode>
                <c:ptCount val="1"/>
                <c:pt idx="0">
                  <c:v>0.75459459459459455</c:v>
                </c:pt>
              </c:numCache>
            </c:numRef>
          </c:val>
        </c:ser>
        <c:dLbls>
          <c:showLegendKey val="0"/>
          <c:showVal val="0"/>
          <c:showCatName val="0"/>
          <c:showSerName val="0"/>
          <c:showPercent val="0"/>
          <c:showBubbleSize val="0"/>
        </c:dLbls>
        <c:gapWidth val="18"/>
        <c:axId val="106655184"/>
        <c:axId val="106655728"/>
      </c:barChart>
      <c:catAx>
        <c:axId val="106655184"/>
        <c:scaling>
          <c:orientation val="minMax"/>
        </c:scaling>
        <c:delete val="1"/>
        <c:axPos val="b"/>
        <c:numFmt formatCode="General" sourceLinked="0"/>
        <c:majorTickMark val="out"/>
        <c:minorTickMark val="none"/>
        <c:tickLblPos val="nextTo"/>
        <c:crossAx val="106655728"/>
        <c:crosses val="autoZero"/>
        <c:auto val="1"/>
        <c:lblAlgn val="ctr"/>
        <c:lblOffset val="100"/>
        <c:noMultiLvlLbl val="0"/>
      </c:catAx>
      <c:valAx>
        <c:axId val="106655728"/>
        <c:scaling>
          <c:orientation val="minMax"/>
          <c:max val="1"/>
          <c:min val="0"/>
        </c:scaling>
        <c:delete val="0"/>
        <c:axPos val="l"/>
        <c:numFmt formatCode="0%" sourceLinked="0"/>
        <c:majorTickMark val="out"/>
        <c:minorTickMark val="none"/>
        <c:tickLblPos val="nextTo"/>
        <c:spPr>
          <a:ln w="0">
            <a:solidFill>
              <a:schemeClr val="tx2"/>
            </a:solidFill>
            <a:prstDash val="sysDot"/>
          </a:ln>
        </c:spPr>
        <c:txPr>
          <a:bodyPr/>
          <a:lstStyle/>
          <a:p>
            <a:pPr>
              <a:defRPr sz="1050" i="1">
                <a:solidFill>
                  <a:schemeClr val="tx2"/>
                </a:solidFill>
              </a:defRPr>
            </a:pPr>
            <a:endParaRPr lang="zh-CN"/>
          </a:p>
        </c:txPr>
        <c:crossAx val="106655184"/>
        <c:crosses val="autoZero"/>
        <c:crossBetween val="between"/>
      </c:valAx>
      <c:spPr>
        <a:noFill/>
        <a:ln w="25400">
          <a:noFill/>
        </a:ln>
        <a:effectLst/>
      </c:spPr>
    </c:plotArea>
    <c:plotVisOnly val="1"/>
    <c:dispBlanksAs val="gap"/>
    <c:showDLblsOverMax val="0"/>
  </c:chart>
  <c:spPr>
    <a:noFill/>
    <a:ln>
      <a:noFill/>
    </a:ln>
  </c:sp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[All in one money tracker_TP102780243.xltx]图表数据!AccountSummaryPivotTable</c:name>
    <c:fmtId val="8"/>
  </c:pivotSource>
  <c:chart>
    <c:title>
      <c:layout/>
      <c:overlay val="0"/>
      <c:txPr>
        <a:bodyPr/>
        <a:lstStyle/>
        <a:p>
          <a:pPr>
            <a:defRPr>
              <a:latin typeface="Microsoft YaHei UI" panose="020B0503020204020204" pitchFamily="34" charset="-122"/>
              <a:ea typeface="Microsoft YaHei UI" panose="020B0503020204020204" pitchFamily="34" charset="-122"/>
            </a:defRPr>
          </a:pPr>
          <a:endParaRPr lang="zh-CN"/>
        </a:p>
      </c:txPr>
    </c:title>
    <c:autoTitleDeleted val="0"/>
    <c:pivotFmts>
      <c:pivotFmt>
        <c:idx val="0"/>
        <c:marker>
          <c:symbol val="diamond"/>
          <c:size val="5"/>
        </c:marker>
      </c:pivotFmt>
      <c:pivotFmt>
        <c:idx val="1"/>
        <c:marker>
          <c:symbol val="diamond"/>
          <c:size val="5"/>
        </c:marker>
      </c:pivotFmt>
      <c:pivotFmt>
        <c:idx val="2"/>
        <c:spPr>
          <a:solidFill>
            <a:schemeClr val="accent1"/>
          </a:solidFill>
          <a:ln>
            <a:noFill/>
          </a:ln>
          <a:effectLst/>
        </c:spPr>
        <c:marker>
          <c:symbol val="none"/>
        </c:marker>
      </c:pivotFmt>
      <c:pivotFmt>
        <c:idx val="3"/>
        <c:spPr>
          <a:solidFill>
            <a:schemeClr val="accent2"/>
          </a:solidFill>
          <a:ln>
            <a:noFill/>
          </a:ln>
          <a:effectLst/>
        </c:spPr>
        <c:marker>
          <c:symbol val="none"/>
        </c:marker>
      </c:pivotFmt>
      <c:pivotFmt>
        <c:idx val="4"/>
        <c:spPr>
          <a:solidFill>
            <a:schemeClr val="accent3"/>
          </a:solidFill>
          <a:ln>
            <a:noFill/>
          </a:ln>
          <a:effectLst/>
        </c:spPr>
        <c:marker>
          <c:symbol val="none"/>
        </c:marker>
      </c:pivotFmt>
      <c:pivotFmt>
        <c:idx val="5"/>
        <c:marker>
          <c:symbol val="none"/>
        </c:marker>
      </c:pivotFmt>
      <c:pivotFmt>
        <c:idx val="6"/>
        <c:marker>
          <c:symbol val="none"/>
        </c:marker>
      </c:pivotFmt>
    </c:pivotFmts>
    <c:plotArea>
      <c:layout/>
      <c:barChart>
        <c:barDir val="col"/>
        <c:grouping val="clustered"/>
        <c:varyColors val="0"/>
        <c:ser>
          <c:idx val="0"/>
          <c:order val="0"/>
          <c:tx>
            <c:strRef>
              <c:f>图表数据!$C$3:$C$4</c:f>
              <c:strCache>
                <c:ptCount val="1"/>
                <c:pt idx="0">
                  <c:v>其他 </c:v>
                </c:pt>
              </c:strCache>
            </c:strRef>
          </c:tx>
          <c:invertIfNegative val="0"/>
          <c:cat>
            <c:strRef>
              <c:f>图表数据!$B$5:$B$6</c:f>
              <c:strCache>
                <c:ptCount val="1"/>
                <c:pt idx="0">
                  <c:v>5月</c:v>
                </c:pt>
              </c:strCache>
            </c:strRef>
          </c:cat>
          <c:val>
            <c:numRef>
              <c:f>图表数据!$C$5:$C$6</c:f>
              <c:numCache>
                <c:formatCode>0.00_);\(0.00\)</c:formatCode>
                <c:ptCount val="1"/>
                <c:pt idx="0">
                  <c:v>30</c:v>
                </c:pt>
              </c:numCache>
            </c:numRef>
          </c:val>
        </c:ser>
        <c:dLbls>
          <c:showLegendKey val="0"/>
          <c:showVal val="0"/>
          <c:showCatName val="0"/>
          <c:showSerName val="0"/>
          <c:showPercent val="0"/>
          <c:showBubbleSize val="0"/>
        </c:dLbls>
        <c:gapWidth val="219"/>
        <c:overlap val="-27"/>
        <c:axId val="145430160"/>
        <c:axId val="145430720"/>
      </c:barChart>
      <c:catAx>
        <c:axId val="1454301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5430720"/>
        <c:crosses val="autoZero"/>
        <c:auto val="1"/>
        <c:lblAlgn val="ctr"/>
        <c:lblOffset val="100"/>
        <c:noMultiLvlLbl val="0"/>
      </c:catAx>
      <c:valAx>
        <c:axId val="145430720"/>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5430160"/>
        <c:crosses val="autoZero"/>
        <c:crossBetween val="between"/>
        <c:majorUnit val="50"/>
        <c:minorUnit val="25"/>
      </c:valAx>
      <c:spPr>
        <a:noFill/>
        <a:ln>
          <a:noFill/>
        </a:ln>
        <a:effectLst/>
      </c:spPr>
    </c:plotArea>
    <c:legend>
      <c:legendPos val="b"/>
      <c:layout>
        <c:manualLayout>
          <c:xMode val="edge"/>
          <c:yMode val="edge"/>
          <c:x val="6.0170304639654427E-2"/>
          <c:y val="0.90878067705040522"/>
          <c:w val="8.4448703171362841E-2"/>
          <c:h val="6.10587632975048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drawings/_rels/drawing1.xml.rels><?xml version="1.0" encoding="UTF-8" standalone="yes"?>
<Relationships xmlns="http://schemas.openxmlformats.org/package/2006/relationships"><Relationship Id="rId2" Type="http://schemas.openxmlformats.org/officeDocument/2006/relationships/hyperlink" Target="#&#27599;&#26376;&#25688;&#35201;!A1"/><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hyperlink" Target="#&#20010;&#20154;&#36164;&#37329;&#36319;&#36394;&#22120;!A1"/></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9526</xdr:rowOff>
    </xdr:from>
    <xdr:to>
      <xdr:col>2</xdr:col>
      <xdr:colOff>3963</xdr:colOff>
      <xdr:row>23</xdr:row>
      <xdr:rowOff>190500</xdr:rowOff>
    </xdr:to>
    <xdr:grpSp>
      <xdr:nvGrpSpPr>
        <xdr:cNvPr id="28" name="资金跟踪器图表组" title="资金跟踪器图表组"/>
        <xdr:cNvGrpSpPr/>
      </xdr:nvGrpSpPr>
      <xdr:grpSpPr>
        <a:xfrm>
          <a:off x="152400" y="819151"/>
          <a:ext cx="1023138" cy="6981824"/>
          <a:chOff x="152400" y="952501"/>
          <a:chExt cx="1023138" cy="4948338"/>
        </a:xfrm>
      </xdr:grpSpPr>
      <xdr:graphicFrame macro="">
        <xdr:nvGraphicFramePr>
          <xdr:cNvPr id="2" name="资金跟踪器图表"/>
          <xdr:cNvGraphicFramePr/>
        </xdr:nvGraphicFramePr>
        <xdr:xfrm>
          <a:off x="252414" y="1133281"/>
          <a:ext cx="757235" cy="4010219"/>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16" name="图表边框 2"/>
          <xdr:cNvSpPr/>
        </xdr:nvSpPr>
        <xdr:spPr>
          <a:xfrm>
            <a:off x="153594" y="952501"/>
            <a:ext cx="1021944" cy="4466659"/>
          </a:xfrm>
          <a:prstGeom prst="rect">
            <a:avLst/>
          </a:prstGeom>
          <a:noFill/>
          <a:ln w="3175">
            <a:solidFill>
              <a:schemeClr val="bg1">
                <a:lumMod val="8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图表边框 1"/>
          <xdr:cNvSpPr/>
        </xdr:nvSpPr>
        <xdr:spPr>
          <a:xfrm>
            <a:off x="152400" y="5421488"/>
            <a:ext cx="1021944" cy="479351"/>
          </a:xfrm>
          <a:prstGeom prst="rect">
            <a:avLst/>
          </a:prstGeom>
          <a:noFill/>
          <a:ln w="3175">
            <a:solidFill>
              <a:schemeClr val="bg1">
                <a:lumMod val="8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1100">
              <a:solidFill>
                <a:schemeClr val="lt1"/>
              </a:solidFill>
              <a:latin typeface="+mn-lt"/>
              <a:ea typeface="+mn-ea"/>
              <a:cs typeface="+mn-cs"/>
            </a:endParaRPr>
          </a:p>
        </xdr:txBody>
      </xdr:sp>
    </xdr:grpSp>
    <xdr:clientData/>
  </xdr:twoCellAnchor>
  <xdr:twoCellAnchor>
    <xdr:from>
      <xdr:col>5</xdr:col>
      <xdr:colOff>900718</xdr:colOff>
      <xdr:row>0</xdr:row>
      <xdr:rowOff>231176</xdr:rowOff>
    </xdr:from>
    <xdr:to>
      <xdr:col>7</xdr:col>
      <xdr:colOff>15018</xdr:colOff>
      <xdr:row>1</xdr:row>
      <xdr:rowOff>0</xdr:rowOff>
    </xdr:to>
    <xdr:sp macro="" textlink="">
      <xdr:nvSpPr>
        <xdr:cNvPr id="3" name="“每月摘要”按钮" title="“每月摘要”导航按钮">
          <a:hlinkClick xmlns:r="http://schemas.openxmlformats.org/officeDocument/2006/relationships" r:id="rId2" tooltip="单击可查看每月摘要"/>
        </xdr:cNvPr>
        <xdr:cNvSpPr/>
      </xdr:nvSpPr>
      <xdr:spPr>
        <a:xfrm>
          <a:off x="5415568" y="231176"/>
          <a:ext cx="1505075" cy="254599"/>
        </a:xfrm>
        <a:prstGeom prst="round2SameRect">
          <a:avLst/>
        </a:prstGeom>
        <a:gradFill flip="none" rotWithShape="1">
          <a:gsLst>
            <a:gs pos="27000">
              <a:schemeClr val="accent1"/>
            </a:gs>
            <a:gs pos="90000">
              <a:schemeClr val="accent1">
                <a:lumMod val="40000"/>
                <a:lumOff val="60000"/>
              </a:schemeClr>
            </a:gs>
            <a:gs pos="67000">
              <a:schemeClr val="accent1">
                <a:lumMod val="60000"/>
                <a:lumOff val="40000"/>
              </a:schemeClr>
            </a:gs>
          </a:gsLst>
          <a:lin ang="16200000" scaled="1"/>
          <a:tileRect/>
        </a:gra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zh-CN" altLang="en-US" sz="1100" i="1">
              <a:solidFill>
                <a:schemeClr val="tx2">
                  <a:lumMod val="75000"/>
                </a:schemeClr>
              </a:solidFill>
              <a:latin typeface="Microsoft YaHei UI" panose="020B0503020204020204" pitchFamily="34" charset="-122"/>
              <a:ea typeface="Microsoft YaHei UI" panose="020B0503020204020204" pitchFamily="34" charset="-122"/>
            </a:rPr>
            <a:t>每月摘要</a:t>
          </a:r>
        </a:p>
      </xdr:txBody>
    </xdr:sp>
    <xdr:clientData fPrintsWithSheet="0"/>
  </xdr:twoCellAnchor>
  <xdr:twoCellAnchor editAs="absolute">
    <xdr:from>
      <xdr:col>7</xdr:col>
      <xdr:colOff>238125</xdr:colOff>
      <xdr:row>13</xdr:row>
      <xdr:rowOff>152399</xdr:rowOff>
    </xdr:from>
    <xdr:to>
      <xdr:col>9</xdr:col>
      <xdr:colOff>438150</xdr:colOff>
      <xdr:row>22</xdr:row>
      <xdr:rowOff>228600</xdr:rowOff>
    </xdr:to>
    <mc:AlternateContent xmlns:mc="http://schemas.openxmlformats.org/markup-compatibility/2006" xmlns:sle15="http://schemas.microsoft.com/office/drawing/2012/slicer">
      <mc:Choice Requires="sle15">
        <xdr:graphicFrame macro="">
          <xdr:nvGraphicFramePr>
            <xdr:cNvPr id="4" name="说明 1" descr="单击切片器中的说明可按所选项目对帐户摘要进行筛选。要选择多个说明，请使用 Ctrl 并单击鼠标左键。" title="说明切片器"/>
            <xdr:cNvGraphicFramePr/>
          </xdr:nvGraphicFramePr>
          <xdr:xfrm>
            <a:off x="0" y="0"/>
            <a:ext cx="0" cy="0"/>
          </xdr:xfrm>
          <a:graphic>
            <a:graphicData uri="http://schemas.microsoft.com/office/drawing/2010/slicer">
              <sle:slicer xmlns:sle="http://schemas.microsoft.com/office/drawing/2010/slicer" name="说明 1"/>
            </a:graphicData>
          </a:graphic>
        </xdr:graphicFrame>
      </mc:Choice>
      <mc:Fallback xmlns="">
        <xdr:sp macro="" textlink="">
          <xdr:nvSpPr>
            <xdr:cNvPr id="0" name=""/>
            <xdr:cNvSpPr>
              <a:spLocks noTextEdit="1"/>
            </xdr:cNvSpPr>
          </xdr:nvSpPr>
          <xdr:spPr>
            <a:xfrm>
              <a:off x="7067550" y="4524374"/>
              <a:ext cx="1562100" cy="2990851"/>
            </a:xfrm>
            <a:prstGeom prst="rect">
              <a:avLst/>
            </a:prstGeom>
            <a:solidFill>
              <a:prstClr val="white"/>
            </a:solidFill>
            <a:ln w="1">
              <a:solidFill>
                <a:prstClr val="green"/>
              </a:solidFill>
            </a:ln>
          </xdr:spPr>
          <xdr:txBody>
            <a:bodyPr vertOverflow="clip" horzOverflow="clip"/>
            <a:lstStyle/>
            <a:p>
              <a:r>
                <a:rPr lang="zh-CN" altLang="en-US" sz="1100"/>
                <a:t>此形状表示表切片器。Excel 2013 或更高版本中支持表切片器。
如果形状是在较早版本的 Excel 中修改的，或者工作簿是使用 Excel 2007 或更早版本保存的，则不能使用切片器。</a:t>
              </a:r>
            </a:p>
          </xdr:txBody>
        </xdr:sp>
      </mc:Fallback>
    </mc:AlternateContent>
    <xdr:clientData fPrintsWithSheet="0"/>
  </xdr:twoCellAnchor>
  <xdr:twoCellAnchor editAs="absolute">
    <xdr:from>
      <xdr:col>7</xdr:col>
      <xdr:colOff>238125</xdr:colOff>
      <xdr:row>9</xdr:row>
      <xdr:rowOff>247650</xdr:rowOff>
    </xdr:from>
    <xdr:to>
      <xdr:col>9</xdr:col>
      <xdr:colOff>438150</xdr:colOff>
      <xdr:row>13</xdr:row>
      <xdr:rowOff>161925</xdr:rowOff>
    </xdr:to>
    <mc:AlternateContent xmlns:mc="http://schemas.openxmlformats.org/markup-compatibility/2006" xmlns:sle15="http://schemas.microsoft.com/office/drawing/2012/slicer">
      <mc:Choice Requires="sle15">
        <xdr:graphicFrame macro="">
          <xdr:nvGraphicFramePr>
            <xdr:cNvPr id="5" name="帐户 1"/>
            <xdr:cNvGraphicFramePr/>
          </xdr:nvGraphicFramePr>
          <xdr:xfrm>
            <a:off x="0" y="0"/>
            <a:ext cx="0" cy="0"/>
          </xdr:xfrm>
          <a:graphic>
            <a:graphicData uri="http://schemas.microsoft.com/office/drawing/2010/slicer">
              <sle:slicer xmlns:sle="http://schemas.microsoft.com/office/drawing/2010/slicer" name="帐户 1"/>
            </a:graphicData>
          </a:graphic>
        </xdr:graphicFrame>
      </mc:Choice>
      <mc:Fallback xmlns="">
        <xdr:sp macro="" textlink="">
          <xdr:nvSpPr>
            <xdr:cNvPr id="0" name=""/>
            <xdr:cNvSpPr>
              <a:spLocks noTextEdit="1"/>
            </xdr:cNvSpPr>
          </xdr:nvSpPr>
          <xdr:spPr>
            <a:xfrm>
              <a:off x="7067550" y="3324225"/>
              <a:ext cx="1562100" cy="1209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can be used in at least Excel 15.
If the shape was modified in an earlier version of Excel, or if the workbook was saved in Excel 2010 or earlier, the slicer cannot be used.</a:t>
              </a:r>
            </a:p>
          </xdr:txBody>
        </xdr:sp>
      </mc:Fallback>
    </mc:AlternateContent>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28577</xdr:colOff>
      <xdr:row>1</xdr:row>
      <xdr:rowOff>85726</xdr:rowOff>
    </xdr:from>
    <xdr:to>
      <xdr:col>4</xdr:col>
      <xdr:colOff>333375</xdr:colOff>
      <xdr:row>1</xdr:row>
      <xdr:rowOff>295276</xdr:rowOff>
    </xdr:to>
    <xdr:sp macro="" textlink="">
      <xdr:nvSpPr>
        <xdr:cNvPr id="4" name="数据透视表刷新备注" descr="要更新此数据，请右键单击“支出摘要”下面的数据透视表，然后单击“刷新”。" title="注意"/>
        <xdr:cNvSpPr txBox="1"/>
      </xdr:nvSpPr>
      <xdr:spPr>
        <a:xfrm>
          <a:off x="180977" y="571501"/>
          <a:ext cx="5257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t"/>
        <a:lstStyle/>
        <a:p>
          <a:r>
            <a:rPr lang="zh-CN" altLang="en-US" sz="900" i="1">
              <a:solidFill>
                <a:schemeClr val="tx1">
                  <a:lumMod val="65000"/>
                  <a:lumOff val="35000"/>
                </a:schemeClr>
              </a:solidFill>
              <a:latin typeface="Microsoft YaHei UI" panose="020B0503020204020204" pitchFamily="34" charset="-122"/>
              <a:ea typeface="Microsoft YaHei UI" panose="020B0503020204020204" pitchFamily="34" charset="-122"/>
            </a:rPr>
            <a:t>要更新此数据，请右键单击“支出摘要”下面的数据透视表，然后单击“刷新”。</a:t>
          </a:r>
          <a:endParaRPr lang="en-US" sz="900" i="1">
            <a:solidFill>
              <a:schemeClr val="tx1">
                <a:lumMod val="65000"/>
                <a:lumOff val="35000"/>
              </a:schemeClr>
            </a:solidFill>
            <a:latin typeface="Microsoft YaHei UI" panose="020B0503020204020204" pitchFamily="34" charset="-122"/>
            <a:ea typeface="Microsoft YaHei UI" panose="020B0503020204020204" pitchFamily="34" charset="-122"/>
          </a:endParaRPr>
        </a:p>
      </xdr:txBody>
    </xdr:sp>
    <xdr:clientData fPrintsWithSheet="0"/>
  </xdr:twoCellAnchor>
  <xdr:twoCellAnchor editAs="absolute">
    <xdr:from>
      <xdr:col>4</xdr:col>
      <xdr:colOff>1169770</xdr:colOff>
      <xdr:row>0</xdr:row>
      <xdr:rowOff>228600</xdr:rowOff>
    </xdr:from>
    <xdr:to>
      <xdr:col>5</xdr:col>
      <xdr:colOff>1314450</xdr:colOff>
      <xdr:row>0</xdr:row>
      <xdr:rowOff>484632</xdr:rowOff>
    </xdr:to>
    <xdr:sp macro="" textlink="">
      <xdr:nvSpPr>
        <xdr:cNvPr id="10" name="“每月摘要”按钮" title="个人资金跟踪器导航按钮">
          <a:hlinkClick xmlns:r="http://schemas.openxmlformats.org/officeDocument/2006/relationships" r:id="rId1" tooltip="单击可查看个人资金跟踪器"/>
        </xdr:cNvPr>
        <xdr:cNvSpPr/>
      </xdr:nvSpPr>
      <xdr:spPr>
        <a:xfrm>
          <a:off x="5608420" y="228600"/>
          <a:ext cx="1497230" cy="256032"/>
        </a:xfrm>
        <a:prstGeom prst="round2SameRect">
          <a:avLst/>
        </a:prstGeom>
        <a:gradFill flip="none" rotWithShape="1">
          <a:gsLst>
            <a:gs pos="27000">
              <a:schemeClr val="accent1"/>
            </a:gs>
            <a:gs pos="90000">
              <a:schemeClr val="accent1">
                <a:lumMod val="40000"/>
                <a:lumOff val="60000"/>
              </a:schemeClr>
            </a:gs>
            <a:gs pos="67000">
              <a:schemeClr val="accent1">
                <a:lumMod val="60000"/>
                <a:lumOff val="40000"/>
              </a:schemeClr>
            </a:gs>
          </a:gsLst>
          <a:lin ang="16200000" scaled="1"/>
          <a:tileRect/>
        </a:gra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zh-CN" altLang="en-US" sz="1100" i="1">
              <a:solidFill>
                <a:schemeClr val="tx2">
                  <a:lumMod val="75000"/>
                </a:schemeClr>
              </a:solidFill>
              <a:latin typeface="Microsoft YaHei UI" panose="020B0503020204020204" pitchFamily="34" charset="-122"/>
              <a:ea typeface="Microsoft YaHei UI" panose="020B0503020204020204" pitchFamily="34" charset="-122"/>
            </a:rPr>
            <a:t>资金跟踪器</a:t>
          </a:r>
        </a:p>
      </xdr:txBody>
    </xdr:sp>
    <xdr:clientData fPrintsWithSheet="0"/>
  </xdr:twoCellAnchor>
  <xdr:twoCellAnchor>
    <xdr:from>
      <xdr:col>1</xdr:col>
      <xdr:colOff>76199</xdr:colOff>
      <xdr:row>2</xdr:row>
      <xdr:rowOff>61911</xdr:rowOff>
    </xdr:from>
    <xdr:to>
      <xdr:col>4</xdr:col>
      <xdr:colOff>1190624</xdr:colOff>
      <xdr:row>14</xdr:row>
      <xdr:rowOff>257174</xdr:rowOff>
    </xdr:to>
    <xdr:graphicFrame macro="">
      <xdr:nvGraphicFramePr>
        <xdr:cNvPr id="2" name="帐户摘要" descr="柱形数据透视图按月份显示支票帐户和储蓄帐户总计的细目。" title="帐户摘要"/>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1085850</xdr:colOff>
      <xdr:row>6</xdr:row>
      <xdr:rowOff>161925</xdr:rowOff>
    </xdr:from>
    <xdr:to>
      <xdr:col>6</xdr:col>
      <xdr:colOff>209550</xdr:colOff>
      <xdr:row>14</xdr:row>
      <xdr:rowOff>95250</xdr:rowOff>
    </xdr:to>
    <mc:AlternateContent xmlns:mc="http://schemas.openxmlformats.org/markup-compatibility/2006" xmlns:a14="http://schemas.microsoft.com/office/drawing/2010/main">
      <mc:Choice Requires="a14">
        <xdr:graphicFrame macro="">
          <xdr:nvGraphicFramePr>
            <xdr:cNvPr id="7" name="说明"/>
            <xdr:cNvGraphicFramePr/>
          </xdr:nvGraphicFramePr>
          <xdr:xfrm>
            <a:off x="0" y="0"/>
            <a:ext cx="0" cy="0"/>
          </xdr:xfrm>
          <a:graphic>
            <a:graphicData uri="http://schemas.microsoft.com/office/drawing/2010/slicer">
              <sle:slicer xmlns:sle="http://schemas.microsoft.com/office/drawing/2010/slicer" name="说明"/>
            </a:graphicData>
          </a:graphic>
        </xdr:graphicFrame>
      </mc:Choice>
      <mc:Fallback xmlns="">
        <xdr:sp macro="" textlink="">
          <xdr:nvSpPr>
            <xdr:cNvPr id="0" name=""/>
            <xdr:cNvSpPr>
              <a:spLocks noTextEdit="1"/>
            </xdr:cNvSpPr>
          </xdr:nvSpPr>
          <xdr:spPr>
            <a:xfrm>
              <a:off x="5524500" y="2447925"/>
              <a:ext cx="1828800" cy="2143125"/>
            </a:xfrm>
            <a:prstGeom prst="rect">
              <a:avLst/>
            </a:prstGeom>
            <a:solidFill>
              <a:prstClr val="white"/>
            </a:solidFill>
            <a:ln w="1">
              <a:solidFill>
                <a:prstClr val="green"/>
              </a:solidFill>
            </a:ln>
          </xdr:spPr>
          <xdr:txBody>
            <a:bodyPr vertOverflow="clip" horzOverflow="clip"/>
            <a:lstStyle/>
            <a:p>
              <a:r>
                <a:rPr lang="zh-CN" altLang="en-US" sz="1100"/>
                <a:t>此形状表示切片器。Excel 2010 或更高版本中支持切片器。
如果在较早版本的 Excel 中修改了形状，或此工作簿是在 Excel 2003 或更早版本中保存的，则不能使用切片器。</a:t>
              </a:r>
            </a:p>
          </xdr:txBody>
        </xdr:sp>
      </mc:Fallback>
    </mc:AlternateContent>
    <xdr:clientData/>
  </xdr:twoCellAnchor>
  <xdr:twoCellAnchor editAs="oneCell">
    <xdr:from>
      <xdr:col>4</xdr:col>
      <xdr:colOff>1133475</xdr:colOff>
      <xdr:row>2</xdr:row>
      <xdr:rowOff>38101</xdr:rowOff>
    </xdr:from>
    <xdr:to>
      <xdr:col>6</xdr:col>
      <xdr:colOff>257175</xdr:colOff>
      <xdr:row>6</xdr:row>
      <xdr:rowOff>57151</xdr:rowOff>
    </xdr:to>
    <mc:AlternateContent xmlns:mc="http://schemas.openxmlformats.org/markup-compatibility/2006" xmlns:a14="http://schemas.microsoft.com/office/drawing/2010/main">
      <mc:Choice Requires="a14">
        <xdr:graphicFrame macro="">
          <xdr:nvGraphicFramePr>
            <xdr:cNvPr id="9" name="帐户"/>
            <xdr:cNvGraphicFramePr/>
          </xdr:nvGraphicFramePr>
          <xdr:xfrm>
            <a:off x="0" y="0"/>
            <a:ext cx="0" cy="0"/>
          </xdr:xfrm>
          <a:graphic>
            <a:graphicData uri="http://schemas.microsoft.com/office/drawing/2010/slicer">
              <sle:slicer xmlns:sle="http://schemas.microsoft.com/office/drawing/2010/slicer" name="帐户"/>
            </a:graphicData>
          </a:graphic>
        </xdr:graphicFrame>
      </mc:Choice>
      <mc:Fallback xmlns="">
        <xdr:sp macro="" textlink="">
          <xdr:nvSpPr>
            <xdr:cNvPr id="0" name=""/>
            <xdr:cNvSpPr>
              <a:spLocks noTextEdit="1"/>
            </xdr:cNvSpPr>
          </xdr:nvSpPr>
          <xdr:spPr>
            <a:xfrm>
              <a:off x="5572125" y="1219201"/>
              <a:ext cx="1828800" cy="1123950"/>
            </a:xfrm>
            <a:prstGeom prst="rect">
              <a:avLst/>
            </a:prstGeom>
            <a:solidFill>
              <a:prstClr val="white"/>
            </a:solidFill>
            <a:ln w="1">
              <a:solidFill>
                <a:prstClr val="green"/>
              </a:solidFill>
            </a:ln>
          </xdr:spPr>
          <xdr:txBody>
            <a:bodyPr vertOverflow="clip" horzOverflow="clip"/>
            <a:lstStyle/>
            <a:p>
              <a:r>
                <a:rPr lang="zh-CN" altLang="en-US" sz="1100"/>
                <a:t>此形状表示切片器。Excel 2010 或更高版本中支持切片器。
如果在较早版本的 Excel 中修改了形状，或此工作簿是在 Excel 2003 或更早版本中保存的，则不能使用切片器。</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Nitthita Choochaisri" refreshedDate="41226.764756597222" createdVersion="5" refreshedVersion="5" minRefreshableVersion="3" recordCount="11">
  <cacheSource type="worksheet">
    <worksheetSource name="CashSpent"/>
  </cacheSource>
  <cacheFields count="4">
    <cacheField name="日期" numFmtId="14">
      <sharedItems containsSemiMixedTypes="0" containsNonDate="0" containsDate="1" containsString="0" minDate="2012-01-04T00:00:00" maxDate="2012-05-11T00:00:00" count="11">
        <d v="2012-01-04T00:00:00"/>
        <d v="2012-01-05T00:00:00"/>
        <d v="2012-01-06T00:00:00"/>
        <d v="2012-02-03T00:00:00"/>
        <d v="2012-02-07T00:00:00"/>
        <d v="2012-03-01T00:00:00"/>
        <d v="2012-03-06T00:00:00"/>
        <d v="2012-04-06T00:00:00"/>
        <d v="2012-04-20T00:00:00"/>
        <d v="2012-05-03T00:00:00"/>
        <d v="2012-05-10T00:00:00"/>
      </sharedItems>
      <fieldGroup base="0">
        <rangePr groupBy="months" startDate="2012-01-04T00:00:00" endDate="2012-05-11T00:00:00"/>
        <groupItems count="14">
          <s v="&lt;2012/1/4"/>
          <s v="1月"/>
          <s v="2月"/>
          <s v="3月"/>
          <s v="4月"/>
          <s v="5月"/>
          <s v="6月"/>
          <s v="7月"/>
          <s v="8月"/>
          <s v="9月"/>
          <s v="10月"/>
          <s v="11月"/>
          <s v="12月"/>
          <s v="&gt;2012/5/11"/>
        </groupItems>
      </fieldGroup>
    </cacheField>
    <cacheField name="说明" numFmtId="178">
      <sharedItems count="6">
        <s v="ATM 取款 "/>
        <s v="午餐 "/>
        <s v="车贷 "/>
        <s v="电子支付 "/>
        <s v="晚餐 "/>
        <s v="提取现金 "/>
      </sharedItems>
    </cacheField>
    <cacheField name="金额" numFmtId="40">
      <sharedItems containsSemiMixedTypes="0" containsString="0" containsNumber="1" containsInteger="1" minValue="5" maxValue="230"/>
    </cacheField>
    <cacheField name="帐户" numFmtId="178">
      <sharedItems count="3">
        <s v="支票帐户 "/>
        <s v="储蓄帐户 "/>
        <s v="其他 "/>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1">
  <r>
    <x v="0"/>
    <x v="0"/>
    <n v="40"/>
    <x v="0"/>
  </r>
  <r>
    <x v="1"/>
    <x v="1"/>
    <n v="5"/>
    <x v="0"/>
  </r>
  <r>
    <x v="2"/>
    <x v="2"/>
    <n v="230"/>
    <x v="1"/>
  </r>
  <r>
    <x v="3"/>
    <x v="3"/>
    <n v="70"/>
    <x v="0"/>
  </r>
  <r>
    <x v="4"/>
    <x v="4"/>
    <n v="53"/>
    <x v="0"/>
  </r>
  <r>
    <x v="5"/>
    <x v="5"/>
    <n v="100"/>
    <x v="1"/>
  </r>
  <r>
    <x v="6"/>
    <x v="2"/>
    <n v="230"/>
    <x v="0"/>
  </r>
  <r>
    <x v="7"/>
    <x v="3"/>
    <n v="70"/>
    <x v="1"/>
  </r>
  <r>
    <x v="8"/>
    <x v="0"/>
    <n v="30"/>
    <x v="0"/>
  </r>
  <r>
    <x v="9"/>
    <x v="0"/>
    <n v="50"/>
    <x v="1"/>
  </r>
  <r>
    <x v="10"/>
    <x v="0"/>
    <n v="3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MonthlySummary" cacheId="5" applyNumberFormats="0" applyBorderFormats="0" applyFontFormats="0" applyPatternFormats="0" applyAlignmentFormats="0" applyWidthHeightFormats="1" dataCaption="Values" updatedVersion="5" minRefreshableVersion="3" fieldPrintTitles="1" itemPrintTitles="1" mergeItem="1" createdVersion="4" indent="0" showHeaders="0" outline="1" outlineData="1" multipleFieldFilters="0" chartFormat="1">
  <location ref="B17:F26" firstHeaderRow="1" firstDataRow="2" firstDataCol="1"/>
  <pivotFields count="4">
    <pivotField axis="axisRow" numFmtId="14" showAll="0" defaultSubtotal="0">
      <items count="14">
        <item x="0"/>
        <item sd="0" x="1"/>
        <item sd="0" x="2"/>
        <item x="3"/>
        <item sd="0" x="4"/>
        <item sd="0" x="5"/>
        <item x="6"/>
        <item x="7"/>
        <item x="8"/>
        <item x="9"/>
        <item x="10"/>
        <item x="11"/>
        <item x="12"/>
        <item x="13"/>
      </items>
    </pivotField>
    <pivotField axis="axisRow" showAll="0" defaultSubtotal="0">
      <items count="6">
        <item x="0"/>
        <item x="2"/>
        <item x="3"/>
        <item x="5"/>
        <item x="4"/>
        <item x="1"/>
      </items>
    </pivotField>
    <pivotField dataField="1" numFmtId="40" showAll="0" defaultSubtotal="0"/>
    <pivotField axis="axisCol" showAll="0" defaultSubtotal="0">
      <items count="3">
        <item x="1"/>
        <item x="2"/>
        <item x="0"/>
      </items>
    </pivotField>
  </pivotFields>
  <rowFields count="2">
    <field x="0"/>
    <field x="1"/>
  </rowFields>
  <rowItems count="8">
    <i>
      <x v="1"/>
    </i>
    <i>
      <x v="2"/>
    </i>
    <i>
      <x v="3"/>
    </i>
    <i r="1">
      <x v="1"/>
    </i>
    <i r="1">
      <x v="3"/>
    </i>
    <i>
      <x v="4"/>
    </i>
    <i>
      <x v="5"/>
    </i>
    <i t="grand">
      <x/>
    </i>
  </rowItems>
  <colFields count="1">
    <field x="3"/>
  </colFields>
  <colItems count="4">
    <i>
      <x/>
    </i>
    <i>
      <x v="1"/>
    </i>
    <i>
      <x v="2"/>
    </i>
    <i t="grand">
      <x/>
    </i>
  </colItems>
  <dataFields count="1">
    <dataField name="求和项:金额" fld="2" baseField="0" baseItem="0"/>
  </dataFields>
  <formats count="14">
    <format dxfId="116">
      <pivotArea type="origin" dataOnly="0" labelOnly="1" outline="0" fieldPosition="0"/>
    </format>
    <format dxfId="115">
      <pivotArea type="origin" dataOnly="0" labelOnly="1" outline="0" fieldPosition="0"/>
    </format>
    <format dxfId="114">
      <pivotArea dataOnly="0" labelOnly="1" grandCol="1" outline="0" fieldPosition="0"/>
    </format>
    <format dxfId="113">
      <pivotArea type="origin" dataOnly="0" labelOnly="1" outline="0" fieldPosition="0"/>
    </format>
    <format dxfId="112">
      <pivotArea type="origin" dataOnly="0" labelOnly="1" outline="0" fieldPosition="0"/>
    </format>
    <format dxfId="111">
      <pivotArea type="origin" dataOnly="0" labelOnly="1" outline="0" fieldPosition="0"/>
    </format>
    <format dxfId="110">
      <pivotArea dataOnly="0" labelOnly="1" grandCol="1" outline="0" fieldPosition="0"/>
    </format>
    <format dxfId="109">
      <pivotArea type="all" dataOnly="0" outline="0" fieldPosition="0"/>
    </format>
    <format dxfId="108">
      <pivotArea outline="0" collapsedLevelsAreSubtotals="1" fieldPosition="0"/>
    </format>
    <format dxfId="107">
      <pivotArea dataOnly="0" labelOnly="1" fieldPosition="0">
        <references count="1">
          <reference field="0" count="5">
            <x v="1"/>
            <x v="2"/>
            <x v="3"/>
            <x v="4"/>
            <x v="5"/>
          </reference>
        </references>
      </pivotArea>
    </format>
    <format dxfId="106">
      <pivotArea dataOnly="0" labelOnly="1" grandRow="1" outline="0" fieldPosition="0"/>
    </format>
    <format dxfId="105">
      <pivotArea dataOnly="0" labelOnly="1" fieldPosition="0">
        <references count="2">
          <reference field="0" count="1" selected="0">
            <x v="3"/>
          </reference>
          <reference field="1" count="2">
            <x v="1"/>
            <x v="3"/>
          </reference>
        </references>
      </pivotArea>
    </format>
    <format dxfId="104">
      <pivotArea dataOnly="0" labelOnly="1" fieldPosition="0">
        <references count="1">
          <reference field="3" count="0"/>
        </references>
      </pivotArea>
    </format>
    <format dxfId="103">
      <pivotArea dataOnly="0" labelOnly="1" grandCol="1" outline="0" fieldPosition="0"/>
    </format>
  </formats>
  <pivotTableStyleInfo name="Monthly Summary" showRowHeaders="1" showColHeaders="1" showRowStripes="1" showColStripes="0" showLastColumn="1"/>
  <extLst>
    <ext xmlns:x14="http://schemas.microsoft.com/office/spreadsheetml/2009/9/main" uri="{962EF5D1-5CA2-4c93-8EF4-DBF5C05439D2}">
      <x14:pivotTableDefinition xmlns:xm="http://schemas.microsoft.com/office/excel/2006/main" altText="Monthly Summary PivotTable" altTextSummary="Provides a summary of cash expenditures that is cross tabulated by month and by account." hideValuesRow="1"/>
    </ext>
  </extLst>
</pivotTableDefinition>
</file>

<file path=xl/pivotTables/pivotTable2.xml><?xml version="1.0" encoding="utf-8"?>
<pivotTableDefinition xmlns="http://schemas.openxmlformats.org/spreadsheetml/2006/main" name="AccountSummaryPivotTable" cacheId="5"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14">
  <location ref="B3:D6" firstHeaderRow="1" firstDataRow="2" firstDataCol="1"/>
  <pivotFields count="4">
    <pivotField axis="axisRow" numFmtId="14" showAll="0" defaultSubtotal="0">
      <items count="14">
        <item x="0"/>
        <item x="1"/>
        <item x="2"/>
        <item x="3"/>
        <item x="4"/>
        <item x="5"/>
        <item x="6"/>
        <item x="7"/>
        <item x="8"/>
        <item x="9"/>
        <item x="10"/>
        <item x="11"/>
        <item x="12"/>
        <item x="13"/>
      </items>
    </pivotField>
    <pivotField showAll="0" defaultSubtotal="0">
      <items count="6">
        <item x="0"/>
        <item x="2"/>
        <item x="3"/>
        <item x="5"/>
        <item x="4"/>
        <item x="1"/>
      </items>
    </pivotField>
    <pivotField dataField="1" numFmtId="40" showAll="0" defaultSubtotal="0"/>
    <pivotField axis="axisCol" showAll="0" defaultSubtotal="0">
      <items count="3">
        <item h="1" x="1"/>
        <item x="2"/>
        <item h="1" x="0"/>
      </items>
    </pivotField>
  </pivotFields>
  <rowFields count="1">
    <field x="0"/>
  </rowFields>
  <rowItems count="2">
    <i>
      <x v="5"/>
    </i>
    <i t="grand">
      <x/>
    </i>
  </rowItems>
  <colFields count="1">
    <field x="3"/>
  </colFields>
  <colItems count="2">
    <i>
      <x v="1"/>
    </i>
    <i t="grand">
      <x/>
    </i>
  </colItems>
  <dataFields count="1">
    <dataField name="求和项:金额" fld="2" baseField="0" baseItem="0"/>
  </dataFields>
  <formats count="9">
    <format dxfId="102">
      <pivotArea type="origin" dataOnly="0" labelOnly="1" outline="0" fieldPosition="0"/>
    </format>
    <format dxfId="101">
      <pivotArea dataOnly="0" labelOnly="1" grandCol="1" outline="0" fieldPosition="0"/>
    </format>
    <format dxfId="100">
      <pivotArea outline="0" collapsedLevelsAreSubtotals="1" fieldPosition="0"/>
    </format>
    <format dxfId="99">
      <pivotArea type="all" dataOnly="0" outline="0" fieldPosition="0"/>
    </format>
    <format dxfId="98">
      <pivotArea outline="0" collapsedLevelsAreSubtotals="1" fieldPosition="0"/>
    </format>
    <format dxfId="97">
      <pivotArea dataOnly="0" labelOnly="1" fieldPosition="0">
        <references count="1">
          <reference field="0" count="5">
            <x v="1"/>
            <x v="2"/>
            <x v="3"/>
            <x v="4"/>
            <x v="5"/>
          </reference>
        </references>
      </pivotArea>
    </format>
    <format dxfId="96">
      <pivotArea dataOnly="0" labelOnly="1" grandRow="1" outline="0" fieldPosition="0"/>
    </format>
    <format dxfId="95">
      <pivotArea dataOnly="0" labelOnly="1" fieldPosition="0">
        <references count="1">
          <reference field="3" count="0"/>
        </references>
      </pivotArea>
    </format>
    <format dxfId="94">
      <pivotArea dataOnly="0" labelOnly="1" grandCol="1" outline="0" fieldPosition="0"/>
    </format>
  </formats>
  <chartFormats count="1">
    <chartFormat chart="8" format="6" series="1">
      <pivotArea type="data" outline="0" fieldPosition="0">
        <references count="1">
          <reference field="4294967294" count="1" selected="0">
            <x v="0"/>
          </reference>
        </references>
      </pivotArea>
    </chartFormat>
  </chartFormats>
  <pivotTableStyleInfo name="Monthly Summary PivotTable data" showRowHeaders="1" showColHeaders="1" showRowStripes="0" showColStripes="0" showLastColumn="1"/>
  <extLst>
    <ext xmlns:x14="http://schemas.microsoft.com/office/spreadsheetml/2009/9/main" uri="{962EF5D1-5CA2-4c93-8EF4-DBF5C05439D2}">
      <x14:pivotTableDefinition xmlns:xm="http://schemas.microsoft.com/office/excel/2006/main" altText="PivotChart data" altTextSummary="This PivotTable used as data source for the Account Summary PivotChart on the Monthly Summary sheet. "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切片器_说明" sourceName="说明">
  <pivotTables>
    <pivotTable tabId="3" name="AccountSummaryPivotTable"/>
  </pivotTables>
  <data>
    <tabular pivotCacheId="2">
      <items count="6">
        <i x="0" s="1"/>
        <i x="2" s="1" nd="1"/>
        <i x="3" s="1" nd="1"/>
        <i x="5" s="1" nd="1"/>
        <i x="4" s="1" nd="1"/>
        <i x="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切片器_帐户" sourceName="帐户">
  <pivotTables>
    <pivotTable tabId="3" name="AccountSummaryPivotTable"/>
  </pivotTables>
  <data>
    <tabular pivotCacheId="2">
      <items count="3">
        <i x="1"/>
        <i x="2" s="1"/>
        <i x="0"/>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Description2" sourceName="说明">
  <extLst>
    <x:ext xmlns:x15="http://schemas.microsoft.com/office/spreadsheetml/2010/11/main" uri="{2F2917AC-EB37-4324-AD4E-5DD8C200BD13}">
      <x15:tableSlicerCache tableId="1"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ccount1" sourceName="帐户">
  <extLst>
    <x:ext xmlns:x15="http://schemas.microsoft.com/office/spreadsheetml/2010/11/main" uri="{2F2917AC-EB37-4324-AD4E-5DD8C200BD13}">
      <x15:tableSlicerCache tableId="1"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说明 1" cache="Slicer_Description2" caption="说明" rowHeight="209550"/>
  <slicer name="帐户 1" cache="Slicer_Account1" caption="帐户" rowHeight="209550"/>
</slicers>
</file>

<file path=xl/slicers/slicer2.xml><?xml version="1.0" encoding="utf-8"?>
<slicers xmlns="http://schemas.microsoft.com/office/spreadsheetml/2009/9/main" xmlns:mc="http://schemas.openxmlformats.org/markup-compatibility/2006" xmlns:x="http://schemas.openxmlformats.org/spreadsheetml/2006/main" mc:Ignorable="x">
  <slicer name="说明" cache="切片器_说明" caption="说明" rowHeight="193675"/>
  <slicer name="帐户" cache="切片器_帐户" caption="帐户" rowHeight="193675"/>
</slicers>
</file>

<file path=xl/tables/table1.xml><?xml version="1.0" encoding="utf-8"?>
<table xmlns="http://schemas.openxmlformats.org/spreadsheetml/2006/main" id="1" name="CashSpent" displayName="CashSpent" ref="D11:G22" headerRowDxfId="93" dataDxfId="92" totalsRowDxfId="91">
  <autoFilter ref="D11:G22"/>
  <tableColumns count="4">
    <tableColumn id="1" name="日期" totalsRowLabel="Total" dataDxfId="90" totalsRowDxfId="89"/>
    <tableColumn id="2" name="说明" dataDxfId="88" totalsRowDxfId="87"/>
    <tableColumn id="3" name="金额" totalsRowFunction="sum" dataDxfId="86" totalsRowDxfId="85"/>
    <tableColumn id="4" name="帐户" dataDxfId="84" totalsRowDxfId="83"/>
  </tableColumns>
  <tableStyleInfo name="Cash Spent Table" showFirstColumn="0" showLastColumn="0" showRowStripes="1" showColumnStripes="1"/>
  <extLst>
    <ext xmlns:x14="http://schemas.microsoft.com/office/spreadsheetml/2009/9/main" uri="{504A1905-F514-4f6f-8877-14C23A59335A}">
      <x14:table altText="Cash I've Spent" altTextSummary="Table to track cash transactions. Includes date, description, amount, and Account."/>
    </ext>
  </extLst>
</table>
</file>

<file path=xl/tables/table2.xml><?xml version="1.0" encoding="utf-8"?>
<table xmlns="http://schemas.openxmlformats.org/spreadsheetml/2006/main" id="2" name="CashSummaryTable" displayName="CashSummaryTable" ref="D4:G8" totalsRowCount="1" headerRowDxfId="82" dataDxfId="81" totalsRowDxfId="80">
  <tableColumns count="4">
    <tableColumn id="1" name="帐户" totalsRowLabel=" 总计  " dataDxfId="79" totalsRowDxfId="78"/>
    <tableColumn id="3" name="起始现金" totalsRowFunction="sum" dataDxfId="77" totalsRowDxfId="76"/>
    <tableColumn id="2" name="支出总计" totalsRowFunction="sum" dataDxfId="75" totalsRowDxfId="74">
      <calculatedColumnFormula>SUMIF(CashSpent[帐户],"=" &amp;CashSummaryTable[[#This Row],[帐户]],CashSpent[金额])</calculatedColumnFormula>
    </tableColumn>
    <tableColumn id="4" name="剩余现金" totalsRowFunction="sum" dataDxfId="73" totalsRowDxfId="72">
      <calculatedColumnFormula>CashSummaryTable[[#This Row],[起始现金]]-CashSummaryTable[[#This Row],[支出总计]]</calculatedColumnFormula>
    </tableColumn>
  </tableColumns>
  <tableStyleInfo name="CashSummaryTable" showFirstColumn="0" showLastColumn="0" showRowStripes="0" showColumnStripes="1"/>
  <extLst>
    <ext xmlns:x14="http://schemas.microsoft.com/office/spreadsheetml/2009/9/main" uri="{504A1905-F514-4f6f-8877-14C23A59335A}">
      <x14:table altText="Cash Summary" altTextSummary="Table that summarizes starting cash, spending total, and cash available for each account."/>
    </ext>
  </extLst>
</table>
</file>

<file path=xl/theme/theme1.xml><?xml version="1.0" encoding="utf-8"?>
<a:theme xmlns:a="http://schemas.openxmlformats.org/drawingml/2006/main" name="Office Theme">
  <a:themeElements>
    <a:clrScheme name="Money Tracker">
      <a:dk1>
        <a:sysClr val="windowText" lastClr="000000"/>
      </a:dk1>
      <a:lt1>
        <a:sysClr val="window" lastClr="FFFFFF"/>
      </a:lt1>
      <a:dk2>
        <a:srgbClr val="404041"/>
      </a:dk2>
      <a:lt2>
        <a:srgbClr val="FFFF99"/>
      </a:lt2>
      <a:accent1>
        <a:srgbClr val="B5D67E"/>
      </a:accent1>
      <a:accent2>
        <a:srgbClr val="6DCEF5"/>
      </a:accent2>
      <a:accent3>
        <a:srgbClr val="FCEE1E"/>
      </a:accent3>
      <a:accent4>
        <a:srgbClr val="FAAF4E"/>
      </a:accent4>
      <a:accent5>
        <a:srgbClr val="31859B"/>
      </a:accent5>
      <a:accent6>
        <a:srgbClr val="DB7713"/>
      </a:accent6>
      <a:hlink>
        <a:srgbClr val="4BACC6"/>
      </a:hlink>
      <a:folHlink>
        <a:srgbClr val="E36C09"/>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pageSetUpPr autoPageBreaks="0" fitToPage="1"/>
  </sheetPr>
  <dimension ref="B1:G25"/>
  <sheetViews>
    <sheetView showGridLines="0" tabSelected="1" zoomScaleNormal="100" workbookViewId="0"/>
  </sheetViews>
  <sheetFormatPr defaultRowHeight="25.5" customHeight="1" x14ac:dyDescent="0.25"/>
  <cols>
    <col min="1" max="1" width="2.28515625" style="1" customWidth="1"/>
    <col min="2" max="2" width="15.28515625" style="1" customWidth="1"/>
    <col min="3" max="3" width="7.5703125" style="1" customWidth="1"/>
    <col min="4" max="4" width="18.7109375" style="1" customWidth="1"/>
    <col min="5" max="5" width="22.5703125" style="1" customWidth="1"/>
    <col min="6" max="6" width="17.28515625" style="1" customWidth="1"/>
    <col min="7" max="7" width="18.7109375" style="1" customWidth="1"/>
    <col min="8" max="8" width="5.5703125" style="1" customWidth="1"/>
    <col min="9" max="9" width="14.85546875" style="1" bestFit="1" customWidth="1"/>
    <col min="10" max="10" width="16.28515625" style="1" bestFit="1" customWidth="1"/>
    <col min="11" max="12" width="12.7109375" style="1" customWidth="1"/>
    <col min="13" max="16384" width="9.140625" style="1"/>
  </cols>
  <sheetData>
    <row r="1" spans="2:7" ht="38.25" customHeight="1" x14ac:dyDescent="0.25">
      <c r="B1" s="2" t="s">
        <v>8</v>
      </c>
      <c r="C1" s="3"/>
      <c r="D1" s="3"/>
      <c r="E1" s="3"/>
      <c r="F1" s="3"/>
      <c r="G1" s="3"/>
    </row>
    <row r="2" spans="2:7" ht="25.5" customHeight="1" x14ac:dyDescent="0.45">
      <c r="D2" s="4"/>
    </row>
    <row r="3" spans="2:7" ht="25.5" customHeight="1" x14ac:dyDescent="0.25">
      <c r="D3" s="5" t="s">
        <v>9</v>
      </c>
    </row>
    <row r="4" spans="2:7" ht="25.5" customHeight="1" x14ac:dyDescent="0.25">
      <c r="D4" s="6" t="s">
        <v>10</v>
      </c>
      <c r="E4" s="7" t="s">
        <v>11</v>
      </c>
      <c r="F4" s="7" t="s">
        <v>12</v>
      </c>
      <c r="G4" s="7" t="s">
        <v>13</v>
      </c>
    </row>
    <row r="5" spans="2:7" ht="25.5" customHeight="1" x14ac:dyDescent="0.25">
      <c r="D5" s="8" t="s">
        <v>14</v>
      </c>
      <c r="E5" s="9">
        <v>3000</v>
      </c>
      <c r="F5" s="9">
        <f>SUMIF(CashSpent[帐户],"=" &amp;CashSummaryTable[[#This Row],[帐户]],CashSpent[金额])</f>
        <v>428</v>
      </c>
      <c r="G5" s="9">
        <f>CashSummaryTable[[#This Row],[起始现金]]-CashSummaryTable[[#This Row],[支出总计]]</f>
        <v>2572</v>
      </c>
    </row>
    <row r="6" spans="2:7" ht="25.5" customHeight="1" x14ac:dyDescent="0.25">
      <c r="D6" s="8" t="s">
        <v>15</v>
      </c>
      <c r="E6" s="9">
        <v>500</v>
      </c>
      <c r="F6" s="9">
        <f>SUMIF(CashSpent[帐户],"=" &amp;CashSummaryTable[[#This Row],[帐户]],CashSpent[金额])</f>
        <v>450</v>
      </c>
      <c r="G6" s="9">
        <f>CashSummaryTable[[#This Row],[起始现金]]-CashSummaryTable[[#This Row],[支出总计]]</f>
        <v>50</v>
      </c>
    </row>
    <row r="7" spans="2:7" ht="25.5" customHeight="1" x14ac:dyDescent="0.25">
      <c r="D7" s="8" t="s">
        <v>16</v>
      </c>
      <c r="E7" s="9">
        <v>200</v>
      </c>
      <c r="F7" s="9">
        <f>SUMIF(CashSpent[帐户],"=" &amp;CashSummaryTable[[#This Row],[帐户]],CashSpent[金额])</f>
        <v>30</v>
      </c>
      <c r="G7" s="9">
        <f>CashSummaryTable[[#This Row],[起始现金]]-CashSummaryTable[[#This Row],[支出总计]]</f>
        <v>170</v>
      </c>
    </row>
    <row r="8" spans="2:7" ht="25.5" customHeight="1" x14ac:dyDescent="0.25">
      <c r="D8" s="8" t="s">
        <v>17</v>
      </c>
      <c r="E8" s="10">
        <f>SUBTOTAL(109,CashSummaryTable[起始现金])</f>
        <v>3700</v>
      </c>
      <c r="F8" s="10">
        <f>SUBTOTAL(109,CashSummaryTable[支出总计])</f>
        <v>908</v>
      </c>
      <c r="G8" s="10">
        <f>SUBTOTAL(109,CashSummaryTable[剩余现金])</f>
        <v>2792</v>
      </c>
    </row>
    <row r="9" spans="2:7" ht="25.5" customHeight="1" x14ac:dyDescent="0.25">
      <c r="D9" s="35"/>
      <c r="E9" s="35"/>
      <c r="F9" s="35"/>
      <c r="G9" s="35"/>
    </row>
    <row r="10" spans="2:7" ht="25.5" customHeight="1" x14ac:dyDescent="0.25">
      <c r="D10" s="5" t="s">
        <v>18</v>
      </c>
    </row>
    <row r="11" spans="2:7" ht="25.5" customHeight="1" x14ac:dyDescent="0.25">
      <c r="D11" s="11" t="s">
        <v>19</v>
      </c>
      <c r="E11" s="11" t="s">
        <v>20</v>
      </c>
      <c r="F11" s="12" t="s">
        <v>21</v>
      </c>
      <c r="G11" s="11" t="s">
        <v>10</v>
      </c>
    </row>
    <row r="12" spans="2:7" ht="25.5" customHeight="1" x14ac:dyDescent="0.25">
      <c r="D12" s="13">
        <v>40912</v>
      </c>
      <c r="E12" s="14" t="s">
        <v>22</v>
      </c>
      <c r="F12" s="15">
        <v>40</v>
      </c>
      <c r="G12" s="14" t="s">
        <v>14</v>
      </c>
    </row>
    <row r="13" spans="2:7" ht="25.5" customHeight="1" x14ac:dyDescent="0.25">
      <c r="D13" s="13">
        <v>40913</v>
      </c>
      <c r="E13" s="14" t="s">
        <v>23</v>
      </c>
      <c r="F13" s="15">
        <v>5</v>
      </c>
      <c r="G13" s="14" t="s">
        <v>14</v>
      </c>
    </row>
    <row r="14" spans="2:7" ht="25.5" customHeight="1" x14ac:dyDescent="0.25">
      <c r="D14" s="13">
        <v>40914</v>
      </c>
      <c r="E14" s="14" t="s">
        <v>24</v>
      </c>
      <c r="F14" s="15">
        <v>230</v>
      </c>
      <c r="G14" s="14" t="s">
        <v>15</v>
      </c>
    </row>
    <row r="15" spans="2:7" ht="25.5" customHeight="1" x14ac:dyDescent="0.25">
      <c r="D15" s="13">
        <v>40942</v>
      </c>
      <c r="E15" s="14" t="s">
        <v>25</v>
      </c>
      <c r="F15" s="15">
        <v>70</v>
      </c>
      <c r="G15" s="14" t="s">
        <v>14</v>
      </c>
    </row>
    <row r="16" spans="2:7" ht="25.5" customHeight="1" x14ac:dyDescent="0.25">
      <c r="D16" s="13">
        <v>40946</v>
      </c>
      <c r="E16" s="14" t="s">
        <v>26</v>
      </c>
      <c r="F16" s="15">
        <v>53</v>
      </c>
      <c r="G16" s="14" t="s">
        <v>14</v>
      </c>
    </row>
    <row r="17" spans="2:7" ht="25.5" customHeight="1" x14ac:dyDescent="0.25">
      <c r="D17" s="13">
        <v>40969</v>
      </c>
      <c r="E17" s="14" t="s">
        <v>27</v>
      </c>
      <c r="F17" s="15">
        <v>100</v>
      </c>
      <c r="G17" s="14" t="s">
        <v>15</v>
      </c>
    </row>
    <row r="18" spans="2:7" ht="25.5" customHeight="1" x14ac:dyDescent="0.25">
      <c r="D18" s="13">
        <v>40974</v>
      </c>
      <c r="E18" s="14" t="s">
        <v>24</v>
      </c>
      <c r="F18" s="15">
        <v>230</v>
      </c>
      <c r="G18" s="14" t="s">
        <v>14</v>
      </c>
    </row>
    <row r="19" spans="2:7" ht="25.5" customHeight="1" x14ac:dyDescent="0.25">
      <c r="D19" s="13">
        <v>41005</v>
      </c>
      <c r="E19" s="14" t="s">
        <v>25</v>
      </c>
      <c r="F19" s="15">
        <v>70</v>
      </c>
      <c r="G19" s="14" t="s">
        <v>15</v>
      </c>
    </row>
    <row r="20" spans="2:7" ht="25.5" customHeight="1" x14ac:dyDescent="0.25">
      <c r="B20" s="36" t="s">
        <v>28</v>
      </c>
      <c r="D20" s="13">
        <v>41019</v>
      </c>
      <c r="E20" s="14" t="s">
        <v>22</v>
      </c>
      <c r="F20" s="15">
        <v>30</v>
      </c>
      <c r="G20" s="14" t="s">
        <v>14</v>
      </c>
    </row>
    <row r="21" spans="2:7" ht="25.5" customHeight="1" x14ac:dyDescent="0.25">
      <c r="B21" s="36"/>
      <c r="D21" s="13">
        <v>41032</v>
      </c>
      <c r="E21" s="14" t="s">
        <v>22</v>
      </c>
      <c r="F21" s="15">
        <v>50</v>
      </c>
      <c r="G21" s="14" t="s">
        <v>15</v>
      </c>
    </row>
    <row r="22" spans="2:7" ht="25.5" customHeight="1" x14ac:dyDescent="0.25">
      <c r="B22" s="34">
        <f>CashSummaryTable[[#Totals],[剩余现金]]/CashSummaryTable[[#Totals],[起始现金]]</f>
        <v>0.75459459459459455</v>
      </c>
      <c r="D22" s="13">
        <v>41039</v>
      </c>
      <c r="E22" s="14" t="s">
        <v>22</v>
      </c>
      <c r="F22" s="15">
        <v>30</v>
      </c>
      <c r="G22" s="14" t="s">
        <v>16</v>
      </c>
    </row>
    <row r="23" spans="2:7" ht="25.5" customHeight="1" x14ac:dyDescent="0.25">
      <c r="B23" s="34"/>
    </row>
    <row r="24" spans="2:7" ht="25.5" customHeight="1" x14ac:dyDescent="0.25">
      <c r="B24" s="34"/>
    </row>
    <row r="25" spans="2:7" ht="25.5" customHeight="1" x14ac:dyDescent="0.25">
      <c r="B25" s="16"/>
    </row>
  </sheetData>
  <mergeCells count="3">
    <mergeCell ref="B22:B24"/>
    <mergeCell ref="D9:G9"/>
    <mergeCell ref="B20:B21"/>
  </mergeCells>
  <phoneticPr fontId="4" type="noConversion"/>
  <conditionalFormatting sqref="B22:B24">
    <cfRule type="expression" dxfId="119" priority="7" stopIfTrue="1">
      <formula>$B$22&gt;=0.5</formula>
    </cfRule>
    <cfRule type="expression" dxfId="118" priority="8" stopIfTrue="1">
      <formula>AND($B$22&gt;=0.25,$B$22&lt;0.5)</formula>
    </cfRule>
    <cfRule type="expression" dxfId="117" priority="9" stopIfTrue="1">
      <formula>$B$22&lt;0.25</formula>
    </cfRule>
  </conditionalFormatting>
  <dataValidations count="1">
    <dataValidation type="list" errorStyle="warning" allowBlank="1" showInputMessage="1" showErrorMessage="1" errorTitle="Whoops!" error="The account you entered isn't in your Cash Summary table. You can still use it if you click Yes but the amount you entered won't be included in the summary or the chart." sqref="G12:G22">
      <formula1>AccountList</formula1>
    </dataValidation>
  </dataValidations>
  <pageMargins left="0.7" right="0.7" top="0.75" bottom="0.75" header="0.3" footer="0.3"/>
  <pageSetup scale="98" fitToHeight="0" orientation="portrait" r:id="rId1"/>
  <headerFooter differentFirst="1">
    <oddFooter>Page &amp;P of &amp;N</oddFooter>
  </headerFooter>
  <drawing r:id="rId2"/>
  <tableParts count="2">
    <tablePart r:id="rId3"/>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pageSetUpPr autoPageBreaks="0" fitToPage="1"/>
  </sheetPr>
  <dimension ref="A1:F26"/>
  <sheetViews>
    <sheetView showGridLines="0" zoomScaleNormal="100" workbookViewId="0"/>
  </sheetViews>
  <sheetFormatPr defaultRowHeight="21.75" customHeight="1" x14ac:dyDescent="0.25"/>
  <cols>
    <col min="1" max="1" width="2.28515625" style="1" customWidth="1"/>
    <col min="2" max="2" width="23.7109375" style="1" customWidth="1"/>
    <col min="3" max="6" width="20.28515625" style="1" customWidth="1"/>
    <col min="7" max="16384" width="9.140625" style="1"/>
  </cols>
  <sheetData>
    <row r="1" spans="1:6" ht="38.25" customHeight="1" x14ac:dyDescent="0.45">
      <c r="A1" s="18"/>
      <c r="B1" s="17" t="s">
        <v>31</v>
      </c>
      <c r="C1" s="3"/>
      <c r="D1" s="3"/>
      <c r="E1" s="3"/>
      <c r="F1" s="19"/>
    </row>
    <row r="2" spans="1:6" s="18" customFormat="1" ht="54.75" customHeight="1" x14ac:dyDescent="0.35">
      <c r="B2" s="20" t="s">
        <v>32</v>
      </c>
      <c r="C2" s="21"/>
      <c r="D2" s="21"/>
      <c r="E2" s="21"/>
    </row>
    <row r="3" spans="1:6" ht="21.75" customHeight="1" x14ac:dyDescent="0.35">
      <c r="B3" s="21"/>
      <c r="C3" s="21"/>
      <c r="D3" s="21"/>
      <c r="E3" s="21"/>
    </row>
    <row r="5" spans="1:6" ht="21.75" customHeight="1" x14ac:dyDescent="0.35">
      <c r="B5" s="21"/>
      <c r="C5" s="21"/>
      <c r="D5" s="21"/>
      <c r="E5" s="21"/>
    </row>
    <row r="6" spans="1:6" ht="21.75" customHeight="1" x14ac:dyDescent="0.35">
      <c r="B6" s="21"/>
      <c r="C6" s="21"/>
      <c r="D6" s="21"/>
      <c r="E6" s="21"/>
    </row>
    <row r="16" spans="1:6" ht="41.25" customHeight="1" x14ac:dyDescent="0.25">
      <c r="B16" s="5" t="s">
        <v>30</v>
      </c>
    </row>
    <row r="17" spans="2:6" ht="18.75" x14ac:dyDescent="0.25">
      <c r="B17" s="22" t="s">
        <v>29</v>
      </c>
      <c r="C17" s="23"/>
      <c r="D17" s="23"/>
      <c r="E17" s="23"/>
      <c r="F17" s="23"/>
    </row>
    <row r="18" spans="2:6" ht="15.75" x14ac:dyDescent="0.25">
      <c r="B18" s="23"/>
      <c r="C18" s="24" t="s">
        <v>15</v>
      </c>
      <c r="D18" s="24" t="s">
        <v>16</v>
      </c>
      <c r="E18" s="24" t="s">
        <v>14</v>
      </c>
      <c r="F18" s="25" t="s">
        <v>0</v>
      </c>
    </row>
    <row r="19" spans="2:6" ht="13.5" x14ac:dyDescent="0.25">
      <c r="B19" s="26" t="s">
        <v>1</v>
      </c>
      <c r="C19" s="27">
        <v>230</v>
      </c>
      <c r="D19" s="27"/>
      <c r="E19" s="27">
        <v>45</v>
      </c>
      <c r="F19" s="27">
        <v>275</v>
      </c>
    </row>
    <row r="20" spans="2:6" ht="13.5" x14ac:dyDescent="0.25">
      <c r="B20" s="26" t="s">
        <v>2</v>
      </c>
      <c r="C20" s="27"/>
      <c r="D20" s="27"/>
      <c r="E20" s="27">
        <v>123</v>
      </c>
      <c r="F20" s="27">
        <v>123</v>
      </c>
    </row>
    <row r="21" spans="2:6" ht="13.5" x14ac:dyDescent="0.25">
      <c r="B21" s="26" t="s">
        <v>3</v>
      </c>
      <c r="C21" s="27"/>
      <c r="D21" s="27"/>
      <c r="E21" s="27"/>
      <c r="F21" s="27"/>
    </row>
    <row r="22" spans="2:6" ht="13.5" x14ac:dyDescent="0.25">
      <c r="B22" s="28" t="s">
        <v>24</v>
      </c>
      <c r="C22" s="27"/>
      <c r="D22" s="27"/>
      <c r="E22" s="27">
        <v>230</v>
      </c>
      <c r="F22" s="27">
        <v>230</v>
      </c>
    </row>
    <row r="23" spans="2:6" ht="13.5" x14ac:dyDescent="0.25">
      <c r="B23" s="28" t="s">
        <v>27</v>
      </c>
      <c r="C23" s="27">
        <v>100</v>
      </c>
      <c r="D23" s="27"/>
      <c r="E23" s="27"/>
      <c r="F23" s="27">
        <v>100</v>
      </c>
    </row>
    <row r="24" spans="2:6" ht="13.5" x14ac:dyDescent="0.25">
      <c r="B24" s="26" t="s">
        <v>4</v>
      </c>
      <c r="C24" s="27">
        <v>70</v>
      </c>
      <c r="D24" s="27"/>
      <c r="E24" s="27">
        <v>30</v>
      </c>
      <c r="F24" s="27">
        <v>100</v>
      </c>
    </row>
    <row r="25" spans="2:6" ht="13.5" x14ac:dyDescent="0.25">
      <c r="B25" s="26" t="s">
        <v>5</v>
      </c>
      <c r="C25" s="27">
        <v>50</v>
      </c>
      <c r="D25" s="27">
        <v>30</v>
      </c>
      <c r="E25" s="27"/>
      <c r="F25" s="27">
        <v>80</v>
      </c>
    </row>
    <row r="26" spans="2:6" ht="13.5" x14ac:dyDescent="0.25">
      <c r="B26" s="26" t="s">
        <v>0</v>
      </c>
      <c r="C26" s="27">
        <v>450</v>
      </c>
      <c r="D26" s="27">
        <v>30</v>
      </c>
      <c r="E26" s="27">
        <v>428</v>
      </c>
      <c r="F26" s="27">
        <v>908</v>
      </c>
    </row>
  </sheetData>
  <phoneticPr fontId="4" type="noConversion"/>
  <printOptions horizontalCentered="1"/>
  <pageMargins left="0.7" right="0.7" top="0.7" bottom="0.7" header="0.3" footer="0.3"/>
  <pageSetup scale="80" fitToHeight="0"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B1:H10"/>
  <sheetViews>
    <sheetView showGridLines="0" workbookViewId="0"/>
  </sheetViews>
  <sheetFormatPr defaultRowHeight="21.75" customHeight="1" x14ac:dyDescent="0.25"/>
  <cols>
    <col min="1" max="1" width="2.28515625" style="1" customWidth="1"/>
    <col min="2" max="2" width="10.7109375" style="1" customWidth="1"/>
    <col min="3" max="3" width="9.5703125" style="1" customWidth="1"/>
    <col min="4" max="4" width="7.28515625" style="1" customWidth="1"/>
    <col min="5" max="5" width="9.7109375" style="1" customWidth="1"/>
    <col min="6" max="6" width="8.42578125" style="1" customWidth="1"/>
    <col min="7" max="7" width="11.85546875" style="1" customWidth="1"/>
    <col min="8" max="16384" width="9.140625" style="1"/>
  </cols>
  <sheetData>
    <row r="1" spans="2:8" ht="38.25" customHeight="1" x14ac:dyDescent="0.45">
      <c r="B1" s="2" t="s">
        <v>33</v>
      </c>
      <c r="C1" s="19"/>
      <c r="D1" s="19"/>
      <c r="E1" s="19"/>
      <c r="F1" s="19"/>
      <c r="G1" s="19"/>
      <c r="H1" s="19"/>
    </row>
    <row r="2" spans="2:8" ht="21.75" customHeight="1" x14ac:dyDescent="0.25">
      <c r="B2" s="29" t="s">
        <v>34</v>
      </c>
    </row>
    <row r="3" spans="2:8" ht="21.75" customHeight="1" x14ac:dyDescent="0.25">
      <c r="B3" s="30" t="s">
        <v>29</v>
      </c>
      <c r="C3" s="31" t="s">
        <v>6</v>
      </c>
      <c r="E3"/>
      <c r="F3"/>
    </row>
    <row r="4" spans="2:8" ht="21.75" customHeight="1" x14ac:dyDescent="0.25">
      <c r="B4" s="31" t="s">
        <v>7</v>
      </c>
      <c r="C4" s="1" t="s">
        <v>16</v>
      </c>
      <c r="D4" s="32" t="s">
        <v>0</v>
      </c>
      <c r="E4"/>
      <c r="F4"/>
    </row>
    <row r="5" spans="2:8" ht="21.75" customHeight="1" x14ac:dyDescent="0.25">
      <c r="B5" s="26" t="s">
        <v>5</v>
      </c>
      <c r="C5" s="33">
        <v>30</v>
      </c>
      <c r="D5" s="33">
        <v>30</v>
      </c>
      <c r="E5"/>
      <c r="F5"/>
    </row>
    <row r="6" spans="2:8" ht="21.75" customHeight="1" x14ac:dyDescent="0.25">
      <c r="B6" s="26" t="s">
        <v>0</v>
      </c>
      <c r="C6" s="33">
        <v>30</v>
      </c>
      <c r="D6" s="33">
        <v>30</v>
      </c>
      <c r="E6"/>
      <c r="F6"/>
    </row>
    <row r="7" spans="2:8" ht="21.75" customHeight="1" x14ac:dyDescent="0.25">
      <c r="B7"/>
      <c r="C7"/>
      <c r="D7"/>
      <c r="E7"/>
      <c r="F7"/>
    </row>
    <row r="8" spans="2:8" ht="21.75" customHeight="1" x14ac:dyDescent="0.25">
      <c r="B8"/>
      <c r="C8"/>
      <c r="D8"/>
      <c r="E8"/>
      <c r="F8"/>
    </row>
    <row r="9" spans="2:8" ht="21.75" customHeight="1" x14ac:dyDescent="0.25">
      <c r="B9"/>
      <c r="C9"/>
      <c r="D9"/>
      <c r="E9"/>
      <c r="F9"/>
    </row>
    <row r="10" spans="2:8" ht="21.75" customHeight="1" x14ac:dyDescent="0.25">
      <c r="B10"/>
      <c r="C10"/>
      <c r="D10"/>
      <c r="E10"/>
      <c r="F10"/>
    </row>
  </sheetData>
  <phoneticPr fontId="4" type="noConversion"/>
  <pageMargins left="0.7" right="0.7" top="0.75" bottom="0.75" header="0.3" footer="0.3"/>
  <pageSetup orientation="portrait" verticalDpi="20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ocPublishedLinkedAssetsLookup xmlns="905c3888-6285-45d0-bd76-60a9ac2d738c" xsi:nil="true"/>
    <ApprovalStatus xmlns="905c3888-6285-45d0-bd76-60a9ac2d738c">InProgress</ApprovalStatus>
    <MarketSpecific xmlns="905c3888-6285-45d0-bd76-60a9ac2d738c">false</MarketSpecific>
    <LocComments xmlns="905c3888-6285-45d0-bd76-60a9ac2d738c" xsi:nil="true"/>
    <LocLastLocAttemptVersionTypeLookup xmlns="905c3888-6285-45d0-bd76-60a9ac2d738c" xsi:nil="true"/>
    <DirectSourceMarket xmlns="905c3888-6285-45d0-bd76-60a9ac2d738c">english</DirectSourceMarket>
    <ThumbnailAssetId xmlns="905c3888-6285-45d0-bd76-60a9ac2d738c" xsi:nil="true"/>
    <PrimaryImageGen xmlns="905c3888-6285-45d0-bd76-60a9ac2d738c">true</PrimaryImageGen>
    <LocNewPublishedVersionLookup xmlns="905c3888-6285-45d0-bd76-60a9ac2d738c" xsi:nil="true"/>
    <LegacyData xmlns="905c3888-6285-45d0-bd76-60a9ac2d738c" xsi:nil="true"/>
    <LocRecommendedHandoff xmlns="905c3888-6285-45d0-bd76-60a9ac2d738c" xsi:nil="true"/>
    <BusinessGroup xmlns="905c3888-6285-45d0-bd76-60a9ac2d738c" xsi:nil="true"/>
    <BlockPublish xmlns="905c3888-6285-45d0-bd76-60a9ac2d738c">false</BlockPublish>
    <TPFriendlyName xmlns="905c3888-6285-45d0-bd76-60a9ac2d738c" xsi:nil="true"/>
    <LocOverallPublishStatusLookup xmlns="905c3888-6285-45d0-bd76-60a9ac2d738c" xsi:nil="true"/>
    <NumericId xmlns="905c3888-6285-45d0-bd76-60a9ac2d738c" xsi:nil="true"/>
    <APEditor xmlns="905c3888-6285-45d0-bd76-60a9ac2d738c">
      <UserInfo>
        <DisplayName/>
        <AccountId xsi:nil="true"/>
        <AccountType/>
      </UserInfo>
    </APEditor>
    <SourceTitle xmlns="905c3888-6285-45d0-bd76-60a9ac2d738c" xsi:nil="true"/>
    <OpenTemplate xmlns="905c3888-6285-45d0-bd76-60a9ac2d738c">true</OpenTemplate>
    <LocOverallLocStatusLookup xmlns="905c3888-6285-45d0-bd76-60a9ac2d738c" xsi:nil="true"/>
    <UALocComments xmlns="905c3888-6285-45d0-bd76-60a9ac2d738c" xsi:nil="true"/>
    <ParentAssetId xmlns="905c3888-6285-45d0-bd76-60a9ac2d738c" xsi:nil="true"/>
    <IntlLangReviewDate xmlns="905c3888-6285-45d0-bd76-60a9ac2d738c" xsi:nil="true"/>
    <FeatureTagsTaxHTField0 xmlns="905c3888-6285-45d0-bd76-60a9ac2d738c">
      <Terms xmlns="http://schemas.microsoft.com/office/infopath/2007/PartnerControls"/>
    </FeatureTagsTaxHTField0>
    <PublishStatusLookup xmlns="905c3888-6285-45d0-bd76-60a9ac2d738c">
      <Value>463831</Value>
    </PublishStatusLookup>
    <Providers xmlns="905c3888-6285-45d0-bd76-60a9ac2d738c" xsi:nil="true"/>
    <MachineTranslated xmlns="905c3888-6285-45d0-bd76-60a9ac2d738c">false</MachineTranslated>
    <OriginalSourceMarket xmlns="905c3888-6285-45d0-bd76-60a9ac2d738c">english</OriginalSourceMarket>
    <APDescription xmlns="905c3888-6285-45d0-bd76-60a9ac2d738c">Tracking your money just got easier with this personal money tracker. Enter your starting cash total and each of your transactions and allow Excel to do the rest. Slice and dice your spening by account using slicers.</APDescription>
    <ClipArtFilename xmlns="905c3888-6285-45d0-bd76-60a9ac2d738c" xsi:nil="true"/>
    <ContentItem xmlns="905c3888-6285-45d0-bd76-60a9ac2d738c" xsi:nil="true"/>
    <TPInstallLocation xmlns="905c3888-6285-45d0-bd76-60a9ac2d738c" xsi:nil="true"/>
    <PublishTargets xmlns="905c3888-6285-45d0-bd76-60a9ac2d738c">OfficeOnlineVNext</PublishTargets>
    <TimesCloned xmlns="905c3888-6285-45d0-bd76-60a9ac2d738c" xsi:nil="true"/>
    <AssetStart xmlns="905c3888-6285-45d0-bd76-60a9ac2d738c">2011-11-15T22:56:00+00:00</AssetStart>
    <Provider xmlns="905c3888-6285-45d0-bd76-60a9ac2d738c" xsi:nil="true"/>
    <AcquiredFrom xmlns="905c3888-6285-45d0-bd76-60a9ac2d738c">Internal MS</AcquiredFrom>
    <FriendlyTitle xmlns="905c3888-6285-45d0-bd76-60a9ac2d738c" xsi:nil="true"/>
    <LastHandOff xmlns="905c3888-6285-45d0-bd76-60a9ac2d738c" xsi:nil="true"/>
    <TPClientViewer xmlns="905c3888-6285-45d0-bd76-60a9ac2d738c" xsi:nil="true"/>
    <TemplateStatus xmlns="905c3888-6285-45d0-bd76-60a9ac2d738c">Complete</TemplateStatus>
    <Downloads xmlns="905c3888-6285-45d0-bd76-60a9ac2d738c">0</Downloads>
    <OOCacheId xmlns="905c3888-6285-45d0-bd76-60a9ac2d738c" xsi:nil="true"/>
    <IsDeleted xmlns="905c3888-6285-45d0-bd76-60a9ac2d738c">false</IsDeleted>
    <LocPublishedDependentAssetsLookup xmlns="905c3888-6285-45d0-bd76-60a9ac2d738c" xsi:nil="true"/>
    <AssetExpire xmlns="905c3888-6285-45d0-bd76-60a9ac2d738c">2029-05-12T07:00:00+00:00</AssetExpire>
    <DSATActionTaken xmlns="905c3888-6285-45d0-bd76-60a9ac2d738c" xsi:nil="true"/>
    <CSXSubmissionMarket xmlns="905c3888-6285-45d0-bd76-60a9ac2d738c" xsi:nil="true"/>
    <TPExecutable xmlns="905c3888-6285-45d0-bd76-60a9ac2d738c" xsi:nil="true"/>
    <EditorialTags xmlns="905c3888-6285-45d0-bd76-60a9ac2d738c" xsi:nil="true"/>
    <SubmitterId xmlns="905c3888-6285-45d0-bd76-60a9ac2d738c" xsi:nil="true"/>
    <ApprovalLog xmlns="905c3888-6285-45d0-bd76-60a9ac2d738c" xsi:nil="true"/>
    <AssetType xmlns="905c3888-6285-45d0-bd76-60a9ac2d738c">TP</AssetType>
    <BugNumber xmlns="905c3888-6285-45d0-bd76-60a9ac2d738c" xsi:nil="true"/>
    <CSXSubmissionDate xmlns="905c3888-6285-45d0-bd76-60a9ac2d738c" xsi:nil="true"/>
    <CSXUpdate xmlns="905c3888-6285-45d0-bd76-60a9ac2d738c">false</CSXUpdate>
    <Milestone xmlns="905c3888-6285-45d0-bd76-60a9ac2d738c" xsi:nil="true"/>
    <RecommendationsModifier xmlns="905c3888-6285-45d0-bd76-60a9ac2d738c" xsi:nil="true"/>
    <OriginAsset xmlns="905c3888-6285-45d0-bd76-60a9ac2d738c" xsi:nil="true"/>
    <TPComponent xmlns="905c3888-6285-45d0-bd76-60a9ac2d738c" xsi:nil="true"/>
    <AssetId xmlns="905c3888-6285-45d0-bd76-60a9ac2d738c">TP102780243</AssetId>
    <IntlLocPriority xmlns="905c3888-6285-45d0-bd76-60a9ac2d738c" xsi:nil="true"/>
    <PolicheckWords xmlns="905c3888-6285-45d0-bd76-60a9ac2d738c" xsi:nil="true"/>
    <TPLaunchHelpLink xmlns="905c3888-6285-45d0-bd76-60a9ac2d738c" xsi:nil="true"/>
    <TPApplication xmlns="905c3888-6285-45d0-bd76-60a9ac2d738c" xsi:nil="true"/>
    <CrawlForDependencies xmlns="905c3888-6285-45d0-bd76-60a9ac2d738c">false</CrawlForDependencies>
    <HandoffToMSDN xmlns="905c3888-6285-45d0-bd76-60a9ac2d738c" xsi:nil="true"/>
    <PlannedPubDate xmlns="905c3888-6285-45d0-bd76-60a9ac2d738c" xsi:nil="true"/>
    <IntlLangReviewer xmlns="905c3888-6285-45d0-bd76-60a9ac2d738c" xsi:nil="true"/>
    <TrustLevel xmlns="905c3888-6285-45d0-bd76-60a9ac2d738c">1 Microsoft Managed Content</TrustLevel>
    <LocLastLocAttemptVersionLookup xmlns="905c3888-6285-45d0-bd76-60a9ac2d738c">689214</LocLastLocAttemptVersionLookup>
    <LocProcessedForHandoffsLookup xmlns="905c3888-6285-45d0-bd76-60a9ac2d738c" xsi:nil="true"/>
    <IsSearchable xmlns="905c3888-6285-45d0-bd76-60a9ac2d738c">true</IsSearchable>
    <TemplateTemplateType xmlns="905c3888-6285-45d0-bd76-60a9ac2d738c">Excel Chart Template</TemplateTemplateType>
    <CampaignTagsTaxHTField0 xmlns="905c3888-6285-45d0-bd76-60a9ac2d738c">
      <Terms xmlns="http://schemas.microsoft.com/office/infopath/2007/PartnerControls"/>
    </CampaignTagsTaxHTField0>
    <TPNamespace xmlns="905c3888-6285-45d0-bd76-60a9ac2d738c" xsi:nil="true"/>
    <LocOverallPreviewStatusLookup xmlns="905c3888-6285-45d0-bd76-60a9ac2d738c" xsi:nil="true"/>
    <TaxCatchAll xmlns="905c3888-6285-45d0-bd76-60a9ac2d738c"/>
    <Markets xmlns="905c3888-6285-45d0-bd76-60a9ac2d738c"/>
    <UAProjectedTotalWords xmlns="905c3888-6285-45d0-bd76-60a9ac2d738c" xsi:nil="true"/>
    <IntlLangReview xmlns="905c3888-6285-45d0-bd76-60a9ac2d738c" xsi:nil="true"/>
    <OutputCachingOn xmlns="905c3888-6285-45d0-bd76-60a9ac2d738c">false</OutputCachingOn>
    <AverageRating xmlns="905c3888-6285-45d0-bd76-60a9ac2d738c" xsi:nil="true"/>
    <APAuthor xmlns="905c3888-6285-45d0-bd76-60a9ac2d738c">
      <UserInfo>
        <DisplayName>REDMOND\matthos</DisplayName>
        <AccountId>59</AccountId>
        <AccountType/>
      </UserInfo>
    </APAuthor>
    <LocManualTestRequired xmlns="905c3888-6285-45d0-bd76-60a9ac2d738c">false</LocManualTestRequired>
    <TPCommandLine xmlns="905c3888-6285-45d0-bd76-60a9ac2d738c" xsi:nil="true"/>
    <TPAppVersion xmlns="905c3888-6285-45d0-bd76-60a9ac2d738c" xsi:nil="true"/>
    <EditorialStatus xmlns="905c3888-6285-45d0-bd76-60a9ac2d738c">Complete</EditorialStatus>
    <LastModifiedDateTime xmlns="905c3888-6285-45d0-bd76-60a9ac2d738c" xsi:nil="true"/>
    <ScenarioTagsTaxHTField0 xmlns="905c3888-6285-45d0-bd76-60a9ac2d738c">
      <Terms xmlns="http://schemas.microsoft.com/office/infopath/2007/PartnerControls"/>
    </ScenarioTagsTaxHTField0>
    <LocProcessedForMarketsLookup xmlns="905c3888-6285-45d0-bd76-60a9ac2d738c" xsi:nil="true"/>
    <TPLaunchHelpLinkType xmlns="905c3888-6285-45d0-bd76-60a9ac2d738c">Template</TPLaunchHelpLinkType>
    <OriginalRelease xmlns="905c3888-6285-45d0-bd76-60a9ac2d738c">15</OriginalRelease>
    <LocalizationTagsTaxHTField0 xmlns="905c3888-6285-45d0-bd76-60a9ac2d738c">
      <Terms xmlns="http://schemas.microsoft.com/office/infopath/2007/PartnerControls"/>
    </LocalizationTagsTaxHTField0>
    <UACurrentWords xmlns="905c3888-6285-45d0-bd76-60a9ac2d738c" xsi:nil="true"/>
    <ArtSampleDocs xmlns="905c3888-6285-45d0-bd76-60a9ac2d738c" xsi:nil="true"/>
    <UALocRecommendation xmlns="905c3888-6285-45d0-bd76-60a9ac2d738c">Localize</UALocRecommendation>
    <Manager xmlns="905c3888-6285-45d0-bd76-60a9ac2d738c" xsi:nil="true"/>
    <LocOverallHandbackStatusLookup xmlns="905c3888-6285-45d0-bd76-60a9ac2d738c" xsi:nil="true"/>
    <ShowIn xmlns="905c3888-6285-45d0-bd76-60a9ac2d738c">Show everywhere</ShowIn>
    <UANotes xmlns="905c3888-6285-45d0-bd76-60a9ac2d738c" xsi:nil="true"/>
    <InternalTagsTaxHTField0 xmlns="905c3888-6285-45d0-bd76-60a9ac2d738c">
      <Terms xmlns="http://schemas.microsoft.com/office/infopath/2007/PartnerControls"/>
    </InternalTagsTaxHTField0>
    <CSXHash xmlns="905c3888-6285-45d0-bd76-60a9ac2d738c" xsi:nil="true"/>
    <VoteCount xmlns="905c3888-6285-45d0-bd76-60a9ac2d738c" xsi:nil="true"/>
    <Description0 xmlns="a0b64b53-fba7-43ca-b952-90e5e74773dd" xsi:nil="true"/>
    <Component0 xmlns="a0b64b53-fba7-43ca-b952-90e5e74773dd" xsi:nil="true"/>
    <LocMarketGroupTiers2 xmlns="905c3888-6285-45d0-bd76-60a9ac2d738c" xsi:nil="true"/>
  </documentManagement>
</p:properties>
</file>

<file path=customXml/item2.xml><?xml version="1.0" encoding="utf-8"?>
<ct:contentTypeSchema xmlns:ct="http://schemas.microsoft.com/office/2006/metadata/contentType" xmlns:ma="http://schemas.microsoft.com/office/2006/metadata/properties/metaAttributes" ct:_="" ma:_="" ma:contentTypeName="TemplateFile" ma:contentTypeID="0x0101008D8B3457135D67479991424C624CBB4704002439B9162B2E88498A324BEFF3815221" ma:contentTypeVersion="55" ma:contentTypeDescription="Create a new document." ma:contentTypeScope="" ma:versionID="a7e4f43ee53fc86ae1dd6272262eb9fb">
  <xsd:schema xmlns:xsd="http://www.w3.org/2001/XMLSchema" xmlns:xs="http://www.w3.org/2001/XMLSchema" xmlns:p="http://schemas.microsoft.com/office/2006/metadata/properties" xmlns:ns2="905c3888-6285-45d0-bd76-60a9ac2d738c" xmlns:ns3="a0b64b53-fba7-43ca-b952-90e5e74773dd" targetNamespace="http://schemas.microsoft.com/office/2006/metadata/properties" ma:root="true" ma:fieldsID="12cd52f9b34cd953802493d919c383c5" ns2:_="" ns3:_="">
    <xsd:import namespace="905c3888-6285-45d0-bd76-60a9ac2d738c"/>
    <xsd:import namespace="a0b64b53-fba7-43ca-b952-90e5e74773dd"/>
    <xsd:element name="properties">
      <xsd:complexType>
        <xsd:sequence>
          <xsd:element name="documentManagement">
            <xsd:complexType>
              <xsd:all>
                <xsd:element ref="ns2:AcquiredFrom" minOccurs="0"/>
                <xsd:element ref="ns2:UACurrentWords" minOccurs="0"/>
                <xsd:element ref="ns2:TPApplication" minOccurs="0"/>
                <xsd:element ref="ns2:ApprovalLog" minOccurs="0"/>
                <xsd:element ref="ns2:ApprovalStatus" minOccurs="0"/>
                <xsd:element ref="ns2:AssetStart" minOccurs="0"/>
                <xsd:element ref="ns2:AssetExpire" minOccurs="0"/>
                <xsd:element ref="ns2:AssetId" minOccurs="0"/>
                <xsd:element ref="ns2:IsSearchable" minOccurs="0"/>
                <xsd:element ref="ns2:AssetType" minOccurs="0"/>
                <xsd:element ref="ns2:APAuthor" minOccurs="0"/>
                <xsd:element ref="ns2:AverageRating" minOccurs="0"/>
                <xsd:element ref="ns2:BlockPublish" minOccurs="0"/>
                <xsd:element ref="ns2:BugNumber" minOccurs="0"/>
                <xsd:element ref="ns2:CampaignTagsTaxHTField0" minOccurs="0"/>
                <xsd:element ref="ns2:TPClientViewer" minOccurs="0"/>
                <xsd:element ref="ns2:ClipArtFilename" minOccurs="0"/>
                <xsd:element ref="ns2:TPCommandLine" minOccurs="0"/>
                <xsd:element ref="ns2:TPComponent" minOccurs="0"/>
                <xsd:element ref="ns2:ContentItem" minOccurs="0"/>
                <xsd:element ref="ns2:CrawlForDependencies" minOccurs="0"/>
                <xsd:element ref="ns2:CSXHash" minOccurs="0"/>
                <xsd:element ref="ns2:CSXSubmissionMarket" minOccurs="0"/>
                <xsd:element ref="ns2:CSXUpdate" minOccurs="0"/>
                <xsd:element ref="ns2:IntlLangReviewDate" minOccurs="0"/>
                <xsd:element ref="ns2:IsDeleted" minOccurs="0"/>
                <xsd:element ref="ns2:APDescription" minOccurs="0"/>
                <xsd:element ref="ns2:DirectSourceMarket" minOccurs="0"/>
                <xsd:element ref="ns2:Downloads" minOccurs="0"/>
                <xsd:element ref="ns2:DSATActionTaken" minOccurs="0"/>
                <xsd:element ref="ns2:APEditor" minOccurs="0"/>
                <xsd:element ref="ns2:EditorialStatus" minOccurs="0"/>
                <xsd:element ref="ns2:EditorialTags" minOccurs="0"/>
                <xsd:element ref="ns2:TPExecutable" minOccurs="0"/>
                <xsd:element ref="ns2:FeatureTagsTaxHTField0" minOccurs="0"/>
                <xsd:element ref="ns2:TPFriendlyName" minOccurs="0"/>
                <xsd:element ref="ns2:FriendlyTitle" minOccurs="0"/>
                <xsd:element ref="ns2:PrimaryImageGen" minOccurs="0"/>
                <xsd:element ref="ns2:HandoffToMSDN" minOccurs="0"/>
                <xsd:element ref="ns2:InProjectListLookup" minOccurs="0"/>
                <xsd:element ref="ns2:TPInstallLocation" minOccurs="0"/>
                <xsd:element ref="ns2:InternalTagsTaxHTField0" minOccurs="0"/>
                <xsd:element ref="ns2:IntlLangReview" minOccurs="0"/>
                <xsd:element ref="ns2:IntlLangReviewer" minOccurs="0"/>
                <xsd:element ref="ns2:MarketSpecific" minOccurs="0"/>
                <xsd:element ref="ns2:LastCompleteVersionLookup" minOccurs="0"/>
                <xsd:element ref="ns2:LastHandOff" minOccurs="0"/>
                <xsd:element ref="ns2:LastModifiedDateTime" minOccurs="0"/>
                <xsd:element ref="ns2:LastPreviewErrorLookup" minOccurs="0"/>
                <xsd:element ref="ns2:LastPreviewResultLookup" minOccurs="0"/>
                <xsd:element ref="ns2:LastPreviewAttemptDateLookup" minOccurs="0"/>
                <xsd:element ref="ns2:LastPreviewedByLookup" minOccurs="0"/>
                <xsd:element ref="ns2:LastPreviewTimeLookup" minOccurs="0"/>
                <xsd:element ref="ns2:LastPreviewVersionLookup" minOccurs="0"/>
                <xsd:element ref="ns2:LastPublishErrorLookup" minOccurs="0"/>
                <xsd:element ref="ns2:LastPublishResultLookup" minOccurs="0"/>
                <xsd:element ref="ns2:LastPublishAttemptDateLookup" minOccurs="0"/>
                <xsd:element ref="ns2:LastPublishedByLookup" minOccurs="0"/>
                <xsd:element ref="ns2:LastPublishTimeLookup" minOccurs="0"/>
                <xsd:element ref="ns2:LastPublishVersionLookup" minOccurs="0"/>
                <xsd:element ref="ns2:TPLaunchHelpLinkType" minOccurs="0"/>
                <xsd:element ref="ns2:LegacyData" minOccurs="0"/>
                <xsd:element ref="ns2:TPLaunchHelpLink" minOccurs="0"/>
                <xsd:element ref="ns2:LocComments" minOccurs="0"/>
                <xsd:element ref="ns2:LocLastLocAttemptVersionLookup" minOccurs="0"/>
                <xsd:element ref="ns2:LocLastLocAttemptVersionTypeLookup" minOccurs="0"/>
                <xsd:element ref="ns2:LocManualTestRequired" minOccurs="0"/>
                <xsd:element ref="ns2:LocMarketGroupTiers2" minOccurs="0"/>
                <xsd:element ref="ns2:LocNewPublishedVersionLookup" minOccurs="0"/>
                <xsd:element ref="ns2:LocOverallHandbackStatusLookup" minOccurs="0"/>
                <xsd:element ref="ns2:LocOverallLocStatusLookup" minOccurs="0"/>
                <xsd:element ref="ns2:LocOverallPreviewStatusLookup" minOccurs="0"/>
                <xsd:element ref="ns2:LocOverallPublishStatusLookup" minOccurs="0"/>
                <xsd:element ref="ns2:IntlLocPriority" minOccurs="0"/>
                <xsd:element ref="ns2:LocProcessedForHandoffsLookup" minOccurs="0"/>
                <xsd:element ref="ns2:LocProcessedForMarketsLookup" minOccurs="0"/>
                <xsd:element ref="ns2:LocPublishedDependentAssetsLookup" minOccurs="0"/>
                <xsd:element ref="ns2:LocPublishedLinkedAssetsLookup" minOccurs="0"/>
                <xsd:element ref="ns2:LocRecommendedHandoff" minOccurs="0"/>
                <xsd:element ref="ns2:LocalizationTagsTaxHTField0" minOccurs="0"/>
                <xsd:element ref="ns2:MachineTranslated" minOccurs="0"/>
                <xsd:element ref="ns2:Manager" minOccurs="0"/>
                <xsd:element ref="ns2:Markets" minOccurs="0"/>
                <xsd:element ref="ns2:Milestone" minOccurs="0"/>
                <xsd:element ref="ns2:TPNamespace" minOccurs="0"/>
                <xsd:element ref="ns2:NumericId" minOccurs="0"/>
                <xsd:element ref="ns2:NumOfRatingsLookup" minOccurs="0"/>
                <xsd:element ref="ns2:OOCacheId" minOccurs="0"/>
                <xsd:element ref="ns2:OpenTemplate" minOccurs="0"/>
                <xsd:element ref="ns2:OriginAsset" minOccurs="0"/>
                <xsd:element ref="ns2:OriginalRelease" minOccurs="0"/>
                <xsd:element ref="ns2:OriginalSourceMarket" minOccurs="0"/>
                <xsd:element ref="ns2:OutputCachingOn" minOccurs="0"/>
                <xsd:element ref="ns2:ParentAssetId" minOccurs="0"/>
                <xsd:element ref="ns2:PlannedPubDate" minOccurs="0"/>
                <xsd:element ref="ns2:PolicheckWords" minOccurs="0"/>
                <xsd:element ref="ns2:BusinessGroup" minOccurs="0"/>
                <xsd:element ref="ns2:UAProjectedTotalWords" minOccurs="0"/>
                <xsd:element ref="ns2:Provider" minOccurs="0"/>
                <xsd:element ref="ns2:Providers" minOccurs="0"/>
                <xsd:element ref="ns2:PublishStatusLookup" minOccurs="0"/>
                <xsd:element ref="ns2:PublishTargets" minOccurs="0"/>
                <xsd:element ref="ns2:RecommendationsModifier" minOccurs="0"/>
                <xsd:element ref="ns2:ArtSampleDocs" minOccurs="0"/>
                <xsd:element ref="ns2:ScenarioTagsTaxHTField0" minOccurs="0"/>
                <xsd:element ref="ns2:ShowIn" minOccurs="0"/>
                <xsd:element ref="ns2:SourceTitle" minOccurs="0"/>
                <xsd:element ref="ns2:CSXSubmissionDate" minOccurs="0"/>
                <xsd:element ref="ns2:SubmitterId" minOccurs="0"/>
                <xsd:element ref="ns2:TaxCatchAll" minOccurs="0"/>
                <xsd:element ref="ns2:TaxCatchAllLabel" minOccurs="0"/>
                <xsd:element ref="ns2:TemplateStatus" minOccurs="0"/>
                <xsd:element ref="ns2:TemplateTemplateType" minOccurs="0"/>
                <xsd:element ref="ns2:ThumbnailAssetId" minOccurs="0"/>
                <xsd:element ref="ns2:TimesCloned" minOccurs="0"/>
                <xsd:element ref="ns2:TrustLevel" minOccurs="0"/>
                <xsd:element ref="ns2:UALocComments" minOccurs="0"/>
                <xsd:element ref="ns2:UALocRecommendation" minOccurs="0"/>
                <xsd:element ref="ns2:UANotes" minOccurs="0"/>
                <xsd:element ref="ns2:TPAppVersion" minOccurs="0"/>
                <xsd:element ref="ns2:VoteCount" minOccurs="0"/>
                <xsd:element ref="ns3:Description0" minOccurs="0"/>
                <xsd:element ref="ns3:Component0"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5c3888-6285-45d0-bd76-60a9ac2d738c" elementFormDefault="qualified">
    <xsd:import namespace="http://schemas.microsoft.com/office/2006/documentManagement/types"/>
    <xsd:import namespace="http://schemas.microsoft.com/office/infopath/2007/PartnerControls"/>
    <xsd:element name="AcquiredFrom" ma:index="1" nillable="true" ma:displayName="Acquired From" ma:default="Internal MS" ma:internalName="AcquiredFrom" ma:readOnly="false">
      <xsd:simpleType>
        <xsd:restriction base="dms:Choice">
          <xsd:enumeration value="Internal MS"/>
          <xsd:enumeration value="Community"/>
          <xsd:enumeration value="MVP"/>
          <xsd:enumeration value="Publisher"/>
          <xsd:enumeration value="Partner"/>
          <xsd:enumeration value="None"/>
        </xsd:restriction>
      </xsd:simpleType>
    </xsd:element>
    <xsd:element name="UACurrentWords" ma:index="2" nillable="true" ma:displayName="Actual Word Count" ma:default="" ma:internalName="UACurrentWords" ma:readOnly="false">
      <xsd:simpleType>
        <xsd:restriction base="dms:Unknown"/>
      </xsd:simpleType>
    </xsd:element>
    <xsd:element name="TPApplication" ma:index="3" nillable="true" ma:displayName="Application to Open Template With" ma:default="" ma:internalName="TPApplication">
      <xsd:simpleType>
        <xsd:restriction base="dms:Text"/>
      </xsd:simpleType>
    </xsd:element>
    <xsd:element name="ApprovalLog" ma:index="4" nillable="true" ma:displayName="Approval Log" ma:default="" ma:hidden="true" ma:internalName="ApprovalLog" ma:readOnly="false">
      <xsd:simpleType>
        <xsd:restriction base="dms:Note"/>
      </xsd:simpleType>
    </xsd:element>
    <xsd:element name="ApprovalStatus" ma:index="5" nillable="true" ma:displayName="Approval Status" ma:default="InProgress" ma:internalName="ApprovalStatus" ma:readOnly="false">
      <xsd:simpleType>
        <xsd:restriction base="dms:Choice">
          <xsd:enumeration value="InProgress"/>
          <xsd:enumeration value="Rejected"/>
          <xsd:enumeration value="Questionable"/>
          <xsd:enumeration value="ApprovedAutomatic"/>
          <xsd:enumeration value="ApprovedManual"/>
          <xsd:enumeration value="On Hold"/>
          <xsd:enumeration value="Needs Review"/>
          <xsd:enumeration value="A Violation"/>
          <xsd:enumeration value="Unpublished Violation"/>
        </xsd:restriction>
      </xsd:simpleType>
    </xsd:element>
    <xsd:element name="AssetStart" ma:index="6" nillable="true" ma:displayName="Asset Begin Date" ma:default="[Today]" ma:internalName="AssetStart" ma:readOnly="false">
      <xsd:simpleType>
        <xsd:restriction base="dms:DateTime"/>
      </xsd:simpleType>
    </xsd:element>
    <xsd:element name="AssetExpire" ma:index="7" nillable="true" ma:displayName="Asset End Date" ma:default="2029-01-01T00:00:00Z" ma:internalName="AssetExpire" ma:readOnly="false">
      <xsd:simpleType>
        <xsd:restriction base="dms:DateTime"/>
      </xsd:simpleType>
    </xsd:element>
    <xsd:element name="AssetId" ma:index="8" nillable="true" ma:displayName="Asset ID" ma:default="" ma:indexed="true" ma:internalName="AssetId" ma:readOnly="false">
      <xsd:simpleType>
        <xsd:restriction base="dms:Text">
          <xsd:maxLength value="255"/>
        </xsd:restriction>
      </xsd:simpleType>
    </xsd:element>
    <xsd:element name="IsSearchable" ma:index="9" nillable="true" ma:displayName="Asset Searchable?" ma:default="true" ma:internalName="IsSearchable" ma:readOnly="false">
      <xsd:simpleType>
        <xsd:restriction base="dms:Boolean"/>
      </xsd:simpleType>
    </xsd:element>
    <xsd:element name="AssetType" ma:index="10" nillable="true" ma:displayName="Asset Type" ma:default="" ma:internalName="AssetType" ma:readOnly="false">
      <xsd:simpleType>
        <xsd:restriction base="dms:Unknown"/>
      </xsd:simpleType>
    </xsd:element>
    <xsd:element name="APAuthor" ma:index="11" nillable="true" ma:displayName="Author" ma:default="" ma:list="UserInfo" ma:internalName="APAuth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verageRating" ma:index="12" nillable="true" ma:displayName="Average Rating" ma:internalName="AverageRating" ma:readOnly="false">
      <xsd:simpleType>
        <xsd:restriction base="dms:Text"/>
      </xsd:simpleType>
    </xsd:element>
    <xsd:element name="BlockPublish" ma:index="13" nillable="true" ma:displayName="Block from Publishing?" ma:default="" ma:internalName="BlockPublish" ma:readOnly="false">
      <xsd:simpleType>
        <xsd:restriction base="dms:Boolean"/>
      </xsd:simpleType>
    </xsd:element>
    <xsd:element name="BugNumber" ma:index="14" nillable="true" ma:displayName="Bug Number" ma:default="" ma:internalName="BugNumber" ma:readOnly="false">
      <xsd:simpleType>
        <xsd:restriction base="dms:Text"/>
      </xsd:simpleType>
    </xsd:element>
    <xsd:element name="CampaignTagsTaxHTField0" ma:index="16" nillable="true" ma:taxonomy="true" ma:internalName="CampaignTagsTaxHTField0" ma:taxonomyFieldName="CampaignTags" ma:displayName="Campaigns" ma:readOnly="false" ma:default="" ma:fieldId="{2fd52ad2-63b0-4f05-b7aa-a17a1c48ca45}" ma:taxonomyMulti="true" ma:sspId="8f79753a-75d3-41f5-8ca3-40b843941b4f" ma:termSetId="ca0e50d4-faa1-44ce-961e-bb1441c60e66" ma:anchorId="00000000-0000-0000-0000-000000000000" ma:open="false" ma:isKeyword="false">
      <xsd:complexType>
        <xsd:sequence>
          <xsd:element ref="pc:Terms" minOccurs="0" maxOccurs="1"/>
        </xsd:sequence>
      </xsd:complexType>
    </xsd:element>
    <xsd:element name="TPClientViewer" ma:index="17" nillable="true" ma:displayName="Client Viewer" ma:default="" ma:internalName="TPClientViewer">
      <xsd:simpleType>
        <xsd:restriction base="dms:Text"/>
      </xsd:simpleType>
    </xsd:element>
    <xsd:element name="ClipArtFilename" ma:index="18" nillable="true" ma:displayName="Clip Art Name" ma:default="" ma:internalName="ClipArtFilename" ma:readOnly="false">
      <xsd:simpleType>
        <xsd:restriction base="dms:Text"/>
      </xsd:simpleType>
    </xsd:element>
    <xsd:element name="TPCommandLine" ma:index="19" nillable="true" ma:displayName="Command Line" ma:default="" ma:internalName="TPCommandLine">
      <xsd:simpleType>
        <xsd:restriction base="dms:Text"/>
      </xsd:simpleType>
    </xsd:element>
    <xsd:element name="TPComponent" ma:index="20" nillable="true" ma:displayName="Component" ma:default="" ma:internalName="TPComponent">
      <xsd:simpleType>
        <xsd:restriction base="dms:Text"/>
      </xsd:simpleType>
    </xsd:element>
    <xsd:element name="ContentItem" ma:index="21" nillable="true" ma:displayName="Content Item" ma:default="" ma:hidden="true" ma:internalName="ContentItem" ma:readOnly="false">
      <xsd:simpleType>
        <xsd:restriction base="dms:Unknown"/>
      </xsd:simpleType>
    </xsd:element>
    <xsd:element name="CrawlForDependencies" ma:index="23" nillable="true" ma:displayName="Crawl for Dependencies?" ma:default="true" ma:internalName="CrawlForDependencies" ma:readOnly="false">
      <xsd:simpleType>
        <xsd:restriction base="dms:Boolean"/>
      </xsd:simpleType>
    </xsd:element>
    <xsd:element name="CSXHash" ma:index="26" nillable="true" ma:displayName="CSX Hash" ma:default="" ma:indexed="true" ma:internalName="CSXHash" ma:readOnly="false">
      <xsd:simpleType>
        <xsd:restriction base="dms:Text"/>
      </xsd:simpleType>
    </xsd:element>
    <xsd:element name="CSXSubmissionMarket" ma:index="27" nillable="true" ma:displayName="CSX Submission Market" ma:default="" ma:list="{85FC5A58-2851-427E-95B4-AFAF1C73BA4D}" ma:internalName="CSXSubmissionMarket" ma:readOnly="false" ma:showField="MarketName" ma:web="905c3888-6285-45d0-bd76-60a9ac2d738c">
      <xsd:simpleType>
        <xsd:restriction base="dms:Lookup"/>
      </xsd:simpleType>
    </xsd:element>
    <xsd:element name="CSXUpdate" ma:index="28" nillable="true" ma:displayName="CSX Updated?" ma:default="false" ma:internalName="CSXUpdate" ma:readOnly="false">
      <xsd:simpleType>
        <xsd:restriction base="dms:Boolean"/>
      </xsd:simpleType>
    </xsd:element>
    <xsd:element name="IntlLangReviewDate" ma:index="29" nillable="true" ma:displayName="Date to Complete Intl QA" ma:default="" ma:internalName="IntlLangReviewDate" ma:readOnly="false">
      <xsd:simpleType>
        <xsd:restriction base="dms:DateTime"/>
      </xsd:simpleType>
    </xsd:element>
    <xsd:element name="IsDeleted" ma:index="30" nillable="true" ma:displayName="Deleted?" ma:default="" ma:internalName="IsDeleted" ma:readOnly="false">
      <xsd:simpleType>
        <xsd:restriction base="dms:Boolean"/>
      </xsd:simpleType>
    </xsd:element>
    <xsd:element name="APDescription" ma:index="31" nillable="true" ma:displayName="Description" ma:default="" ma:internalName="APDescription" ma:readOnly="false">
      <xsd:simpleType>
        <xsd:restriction base="dms:Note"/>
      </xsd:simpleType>
    </xsd:element>
    <xsd:element name="DirectSourceMarket" ma:index="32" nillable="true" ma:displayName="Direct Source Market Group" ma:default="" ma:internalName="DirectSourceMarket" ma:readOnly="false">
      <xsd:simpleType>
        <xsd:restriction base="dms:Text"/>
      </xsd:simpleType>
    </xsd:element>
    <xsd:element name="Downloads" ma:index="33" nillable="true" ma:displayName="Downloads" ma:default="0" ma:hidden="true" ma:internalName="Downloads" ma:readOnly="false">
      <xsd:simpleType>
        <xsd:restriction base="dms:Unknown"/>
      </xsd:simpleType>
    </xsd:element>
    <xsd:element name="DSATActionTaken" ma:index="34" nillable="true" ma:displayName="DSAT Action Taken" ma:default="" ma:internalName="DSATActionTaken" ma:readOnly="false">
      <xsd:simpleType>
        <xsd:restriction base="dms:Choice">
          <xsd:enumeration value="Best Bets"/>
          <xsd:enumeration value="Expire"/>
          <xsd:enumeration value="Hide"/>
          <xsd:enumeration value="None"/>
        </xsd:restriction>
      </xsd:simpleType>
    </xsd:element>
    <xsd:element name="APEditor" ma:index="35" nillable="true" ma:displayName="Editor" ma:default="" ma:list="UserInfo" ma:internalName="APEdit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ditorialStatus" ma:index="36" nillable="true" ma:displayName="Editorial Status" ma:default="" ma:internalName="EditorialStatus" ma:readOnly="false">
      <xsd:simpleType>
        <xsd:restriction base="dms:Unknown"/>
      </xsd:simpleType>
    </xsd:element>
    <xsd:element name="EditorialTags" ma:index="37" nillable="true" ma:displayName="Editorial Tags" ma:default="" ma:internalName="EditorialTags">
      <xsd:simpleType>
        <xsd:restriction base="dms:Unknown"/>
      </xsd:simpleType>
    </xsd:element>
    <xsd:element name="TPExecutable" ma:index="38" nillable="true" ma:displayName="Executable" ma:default="" ma:internalName="TPExecutable">
      <xsd:simpleType>
        <xsd:restriction base="dms:Text"/>
      </xsd:simpleType>
    </xsd:element>
    <xsd:element name="FeatureTagsTaxHTField0" ma:index="40" nillable="true" ma:taxonomy="true" ma:internalName="FeatureTagsTaxHTField0" ma:taxonomyFieldName="FeatureTags" ma:displayName="Features" ma:readOnly="false" ma:default="" ma:fieldId="{d402824c-da96-4981-b598-df734aacbc3e}" ma:taxonomyMulti="true" ma:sspId="8f79753a-75d3-41f5-8ca3-40b843941b4f" ma:termSetId="f1ab6845-967d-4854-a0ba-4ec07f0f8113" ma:anchorId="00000000-0000-0000-0000-000000000000" ma:open="false" ma:isKeyword="false">
      <xsd:complexType>
        <xsd:sequence>
          <xsd:element ref="pc:Terms" minOccurs="0" maxOccurs="1"/>
        </xsd:sequence>
      </xsd:complexType>
    </xsd:element>
    <xsd:element name="TPFriendlyName" ma:index="41" nillable="true" ma:displayName="Friendly Name" ma:default="" ma:internalName="TPFriendlyName">
      <xsd:simpleType>
        <xsd:restriction base="dms:Text"/>
      </xsd:simpleType>
    </xsd:element>
    <xsd:element name="FriendlyTitle" ma:index="42" nillable="true" ma:displayName="Friendly Title" ma:default="" ma:description="Shorter title to be used when displaying search results" ma:internalName="FriendlyTitle" ma:readOnly="false">
      <xsd:simpleType>
        <xsd:restriction base="dms:Text"/>
      </xsd:simpleType>
    </xsd:element>
    <xsd:element name="PrimaryImageGen" ma:index="43" nillable="true" ma:displayName="Generate Images?" ma:default="true" ma:internalName="PrimaryImageGen">
      <xsd:simpleType>
        <xsd:restriction base="dms:Boolean"/>
      </xsd:simpleType>
    </xsd:element>
    <xsd:element name="HandoffToMSDN" ma:index="44" nillable="true" ma:displayName="Handoff To MSDN Date" ma:default="" ma:internalName="HandoffToMSDN" ma:readOnly="false">
      <xsd:simpleType>
        <xsd:restriction base="dms:DateTime"/>
      </xsd:simpleType>
    </xsd:element>
    <xsd:element name="InProjectListLookup" ma:index="45" nillable="true" ma:displayName="InProjectListLookup" ma:list="{7F948D4D-A57E-4E3F-87E9-0ABE9F2D748E}" ma:internalName="InProjectListLookup" ma:readOnly="true" ma:showField="InProjectList"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TPInstallLocation" ma:index="46" nillable="true" ma:displayName="Install Location" ma:default="" ma:internalName="TPInstallLocation">
      <xsd:simpleType>
        <xsd:restriction base="dms:Text"/>
      </xsd:simpleType>
    </xsd:element>
    <xsd:element name="InternalTagsTaxHTField0" ma:index="48" nillable="true" ma:taxonomy="true" ma:internalName="InternalTagsTaxHTField0" ma:taxonomyFieldName="InternalTags" ma:displayName="Internal Tags" ma:readOnly="false" ma:default="" ma:fieldId="{b8eee2a3-2d4f-4b12-b229-9e667c371718}" ma:taxonomyMulti="true" ma:sspId="8f79753a-75d3-41f5-8ca3-40b843941b4f" ma:termSetId="82b6639e-f7fc-4c18-ad2d-003a6e707765" ma:anchorId="00000000-0000-0000-0000-000000000000" ma:open="false" ma:isKeyword="false">
      <xsd:complexType>
        <xsd:sequence>
          <xsd:element ref="pc:Terms" minOccurs="0" maxOccurs="1"/>
        </xsd:sequence>
      </xsd:complexType>
    </xsd:element>
    <xsd:element name="IntlLangReview" ma:index="49" nillable="true" ma:displayName="Intl Lang QA Review Required?" ma:default="" ma:internalName="IntlLangReview" ma:readOnly="false">
      <xsd:simpleType>
        <xsd:restriction base="dms:Boolean"/>
      </xsd:simpleType>
    </xsd:element>
    <xsd:element name="IntlLangReviewer" ma:index="50" nillable="true" ma:displayName="Intl Lang QA Reviewer" ma:default="" ma:internalName="IntlLangReviewer" ma:readOnly="false">
      <xsd:simpleType>
        <xsd:restriction base="dms:Text"/>
      </xsd:simpleType>
    </xsd:element>
    <xsd:element name="MarketSpecific" ma:index="51" nillable="true" ma:displayName="Is Market Specific?" ma:default="" ma:internalName="MarketSpecific" ma:readOnly="false">
      <xsd:simpleType>
        <xsd:restriction base="dms:Boolean"/>
      </xsd:simpleType>
    </xsd:element>
    <xsd:element name="LastCompleteVersionLookup" ma:index="52" nillable="true" ma:displayName="Last Complete Version Lookup" ma:default="" ma:list="{7F948D4D-A57E-4E3F-87E9-0ABE9F2D748E}" ma:internalName="LastCompleteVersionLookup" ma:readOnly="true" ma:showField="LastCompleteVersion"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HandOff" ma:index="53" nillable="true" ma:displayName="Last Hand-off" ma:default="" ma:internalName="LastHandOff" ma:readOnly="false">
      <xsd:simpleType>
        <xsd:restriction base="dms:DateTime"/>
      </xsd:simpleType>
    </xsd:element>
    <xsd:element name="LastModifiedDateTime" ma:index="54" nillable="true" ma:displayName="Last Modified Date" ma:default="" ma:internalName="LastModifiedDateTime" ma:readOnly="false">
      <xsd:simpleType>
        <xsd:restriction base="dms:DateTime"/>
      </xsd:simpleType>
    </xsd:element>
    <xsd:element name="LastPreviewErrorLookup" ma:index="55" nillable="true" ma:displayName="Last Preview Attempt Error" ma:default="" ma:list="{7F948D4D-A57E-4E3F-87E9-0ABE9F2D748E}" ma:internalName="LastPreviewErrorLookup" ma:readOnly="true" ma:showField="LastPreviewError"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reviewResultLookup" ma:index="56" nillable="true" ma:displayName="Last Preview Attempt Result" ma:default="" ma:list="{7F948D4D-A57E-4E3F-87E9-0ABE9F2D748E}" ma:internalName="LastPreviewResultLookup" ma:readOnly="true" ma:showField="LastPreviewResult"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reviewAttemptDateLookup" ma:index="57" nillable="true" ma:displayName="Last Preview Attempted On" ma:default="" ma:list="{7F948D4D-A57E-4E3F-87E9-0ABE9F2D748E}" ma:internalName="LastPreviewAttemptDateLookup" ma:readOnly="true" ma:showField="LastPreviewAttemptDate"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reviewedByLookup" ma:index="58" nillable="true" ma:displayName="Last Previewed By" ma:default="" ma:list="{7F948D4D-A57E-4E3F-87E9-0ABE9F2D748E}" ma:internalName="LastPreviewedByLookup" ma:readOnly="true" ma:showField="LastPreviewedBy"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reviewTimeLookup" ma:index="59" nillable="true" ma:displayName="Last Previewed Date" ma:default="" ma:list="{7F948D4D-A57E-4E3F-87E9-0ABE9F2D748E}" ma:internalName="LastPreviewTimeLookup" ma:readOnly="true" ma:showField="LastPreviewTime"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reviewVersionLookup" ma:index="60" nillable="true" ma:displayName="Last Previewed Version" ma:default="" ma:list="{7F948D4D-A57E-4E3F-87E9-0ABE9F2D748E}" ma:internalName="LastPreviewVersionLookup" ma:readOnly="true" ma:showField="LastPreviewVersion"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ublishErrorLookup" ma:index="61" nillable="true" ma:displayName="Last Publish Attempt Error" ma:default="" ma:list="{7F948D4D-A57E-4E3F-87E9-0ABE9F2D748E}" ma:internalName="LastPublishErrorLookup" ma:readOnly="true" ma:showField="LastPublishError"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ublishResultLookup" ma:index="62" nillable="true" ma:displayName="Last Publish Attempt Result" ma:default="" ma:list="{7F948D4D-A57E-4E3F-87E9-0ABE9F2D748E}" ma:internalName="LastPublishResultLookup" ma:readOnly="true" ma:showField="LastPublishResult"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ublishAttemptDateLookup" ma:index="63" nillable="true" ma:displayName="Last Publish Attempted On" ma:default="" ma:list="{7F948D4D-A57E-4E3F-87E9-0ABE9F2D748E}" ma:internalName="LastPublishAttemptDateLookup" ma:readOnly="true" ma:showField="LastPublishAttemptDate"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ublishedByLookup" ma:index="64" nillable="true" ma:displayName="Last Published By" ma:default="" ma:list="{7F948D4D-A57E-4E3F-87E9-0ABE9F2D748E}" ma:internalName="LastPublishedByLookup" ma:readOnly="true" ma:showField="LastPublishedBy"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ublishTimeLookup" ma:index="65" nillable="true" ma:displayName="Last Published Date" ma:default="" ma:list="{7F948D4D-A57E-4E3F-87E9-0ABE9F2D748E}" ma:internalName="LastPublishTimeLookup" ma:readOnly="true" ma:showField="LastPublishTime"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ublishVersionLookup" ma:index="66" nillable="true" ma:displayName="Last Published Version" ma:default="" ma:list="{7F948D4D-A57E-4E3F-87E9-0ABE9F2D748E}" ma:internalName="LastPublishVersionLookup" ma:readOnly="true" ma:showField="LastPublishVersion"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TPLaunchHelpLinkType" ma:index="67" nillable="true" ma:displayName="Launch Help Link Type" ma:default="Template" ma:internalName="TPLaunchHelpLinkType">
      <xsd:simpleType>
        <xsd:restriction base="dms:Choice">
          <xsd:enumeration value="Template"/>
          <xsd:enumeration value="Training"/>
          <xsd:enumeration value="URL"/>
          <xsd:enumeration value="None"/>
        </xsd:restriction>
      </xsd:simpleType>
    </xsd:element>
    <xsd:element name="LegacyData" ma:index="68" nillable="true" ma:displayName="Legacy Data" ma:default="" ma:internalName="LegacyData" ma:readOnly="false">
      <xsd:simpleType>
        <xsd:restriction base="dms:Note"/>
      </xsd:simpleType>
    </xsd:element>
    <xsd:element name="TPLaunchHelpLink" ma:index="69" nillable="true" ma:displayName="Link to Launch Help Topic" ma:default="" ma:internalName="TPLaunchHelpLink">
      <xsd:simpleType>
        <xsd:restriction base="dms:Text"/>
      </xsd:simpleType>
    </xsd:element>
    <xsd:element name="LocComments" ma:index="70" nillable="true" ma:displayName="Loc Approval Comments" ma:default="" ma:internalName="LocComments" ma:readOnly="false">
      <xsd:simpleType>
        <xsd:restriction base="dms:Note"/>
      </xsd:simpleType>
    </xsd:element>
    <xsd:element name="LocLastLocAttemptVersionLookup" ma:index="71" nillable="true" ma:displayName="Loc Last Loc Attempt Version" ma:default="" ma:list="{B1EFB310-8154-40EE-A736-2FF11D479763}" ma:internalName="LocLastLocAttemptVersionLookup" ma:readOnly="false" ma:showField="LastLocAttemptVersion" ma:web="905c3888-6285-45d0-bd76-60a9ac2d738c">
      <xsd:simpleType>
        <xsd:restriction base="dms:Lookup"/>
      </xsd:simpleType>
    </xsd:element>
    <xsd:element name="LocLastLocAttemptVersionTypeLookup" ma:index="72" nillable="true" ma:displayName="Loc Last Loc Attempt Version Type" ma:default="" ma:list="{B1EFB310-8154-40EE-A736-2FF11D479763}" ma:internalName="LocLastLocAttemptVersionTypeLookup" ma:readOnly="true" ma:showField="LastLocAttemptVersionType" ma:web="905c3888-6285-45d0-bd76-60a9ac2d738c">
      <xsd:simpleType>
        <xsd:restriction base="dms:Lookup"/>
      </xsd:simpleType>
    </xsd:element>
    <xsd:element name="LocManualTestRequired" ma:index="73" nillable="true" ma:displayName="Loc Manual Test Required" ma:default="" ma:internalName="LocManualTestRequired" ma:readOnly="false">
      <xsd:simpleType>
        <xsd:restriction base="dms:Boolean"/>
      </xsd:simpleType>
    </xsd:element>
    <xsd:element name="LocMarketGroupTiers2" ma:index="74" nillable="true" ma:displayName="Loc Market Group Tiers" ma:internalName="LocMarketGroupTiers2" ma:readOnly="false">
      <xsd:simpleType>
        <xsd:restriction base="dms:Unknown"/>
      </xsd:simpleType>
    </xsd:element>
    <xsd:element name="LocNewPublishedVersionLookup" ma:index="75" nillable="true" ma:displayName="Loc New Published Version Lookup" ma:default="" ma:list="{B1EFB310-8154-40EE-A736-2FF11D479763}" ma:internalName="LocNewPublishedVersionLookup" ma:readOnly="true" ma:showField="NewPublishedVersion" ma:web="905c3888-6285-45d0-bd76-60a9ac2d738c">
      <xsd:simpleType>
        <xsd:restriction base="dms:Lookup"/>
      </xsd:simpleType>
    </xsd:element>
    <xsd:element name="LocOverallHandbackStatusLookup" ma:index="76" nillable="true" ma:displayName="Loc Overall Handback Status" ma:default="" ma:list="{B1EFB310-8154-40EE-A736-2FF11D479763}" ma:internalName="LocOverallHandbackStatusLookup" ma:readOnly="true" ma:showField="OverallHandbackStatus" ma:web="905c3888-6285-45d0-bd76-60a9ac2d738c">
      <xsd:simpleType>
        <xsd:restriction base="dms:Lookup"/>
      </xsd:simpleType>
    </xsd:element>
    <xsd:element name="LocOverallLocStatusLookup" ma:index="77" nillable="true" ma:displayName="Loc Overall Localize Status" ma:default="" ma:list="{B1EFB310-8154-40EE-A736-2FF11D479763}" ma:internalName="LocOverallLocStatusLookup" ma:readOnly="true" ma:showField="OverallLocStatus" ma:web="905c3888-6285-45d0-bd76-60a9ac2d738c">
      <xsd:simpleType>
        <xsd:restriction base="dms:Lookup"/>
      </xsd:simpleType>
    </xsd:element>
    <xsd:element name="LocOverallPreviewStatusLookup" ma:index="78" nillable="true" ma:displayName="Loc Overall Preview Status" ma:default="" ma:list="{B1EFB310-8154-40EE-A736-2FF11D479763}" ma:internalName="LocOverallPreviewStatusLookup" ma:readOnly="true" ma:showField="OverallPreviewStatus" ma:web="905c3888-6285-45d0-bd76-60a9ac2d738c">
      <xsd:simpleType>
        <xsd:restriction base="dms:Lookup"/>
      </xsd:simpleType>
    </xsd:element>
    <xsd:element name="LocOverallPublishStatusLookup" ma:index="79" nillable="true" ma:displayName="Loc Overall Publish Status" ma:default="" ma:list="{B1EFB310-8154-40EE-A736-2FF11D479763}" ma:internalName="LocOverallPublishStatusLookup" ma:readOnly="true" ma:showField="OverallPublishStatus" ma:web="905c3888-6285-45d0-bd76-60a9ac2d738c">
      <xsd:simpleType>
        <xsd:restriction base="dms:Lookup"/>
      </xsd:simpleType>
    </xsd:element>
    <xsd:element name="IntlLocPriority" ma:index="80" nillable="true" ma:displayName="Loc Priority" ma:default="" ma:internalName="IntlLocPriority" ma:readOnly="false">
      <xsd:simpleType>
        <xsd:restriction base="dms:Unknown"/>
      </xsd:simpleType>
    </xsd:element>
    <xsd:element name="LocProcessedForHandoffsLookup" ma:index="81" nillable="true" ma:displayName="Loc Processed For Handoffs" ma:default="" ma:list="{B1EFB310-8154-40EE-A736-2FF11D479763}" ma:internalName="LocProcessedForHandoffsLookup" ma:readOnly="true" ma:showField="ProcessedForHandoffs" ma:web="905c3888-6285-45d0-bd76-60a9ac2d738c">
      <xsd:simpleType>
        <xsd:restriction base="dms:Lookup"/>
      </xsd:simpleType>
    </xsd:element>
    <xsd:element name="LocProcessedForMarketsLookup" ma:index="82" nillable="true" ma:displayName="Loc Processed For Markets" ma:default="" ma:list="{B1EFB310-8154-40EE-A736-2FF11D479763}" ma:internalName="LocProcessedForMarketsLookup" ma:readOnly="true" ma:showField="ProcessedForMarkets" ma:web="905c3888-6285-45d0-bd76-60a9ac2d738c">
      <xsd:simpleType>
        <xsd:restriction base="dms:Lookup"/>
      </xsd:simpleType>
    </xsd:element>
    <xsd:element name="LocPublishedDependentAssetsLookup" ma:index="83" nillable="true" ma:displayName="Loc Published Dependent Assets" ma:default="" ma:list="{B1EFB310-8154-40EE-A736-2FF11D479763}" ma:internalName="LocPublishedDependentAssetsLookup" ma:readOnly="true" ma:showField="PublishedDependentAssets" ma:web="905c3888-6285-45d0-bd76-60a9ac2d738c">
      <xsd:simpleType>
        <xsd:restriction base="dms:Lookup"/>
      </xsd:simpleType>
    </xsd:element>
    <xsd:element name="LocPublishedLinkedAssetsLookup" ma:index="84" nillable="true" ma:displayName="Loc Published Linked Assets" ma:default="" ma:list="{B1EFB310-8154-40EE-A736-2FF11D479763}" ma:internalName="LocPublishedLinkedAssetsLookup" ma:readOnly="true" ma:showField="PublishedLinkedAssets" ma:web="905c3888-6285-45d0-bd76-60a9ac2d738c">
      <xsd:simpleType>
        <xsd:restriction base="dms:Lookup"/>
      </xsd:simpleType>
    </xsd:element>
    <xsd:element name="LocRecommendedHandoff" ma:index="85" nillable="true" ma:displayName="Loc Recommended Handoff" ma:default="" ma:indexed="true" ma:internalName="LocRecommendedHandoff" ma:readOnly="false">
      <xsd:simpleType>
        <xsd:restriction base="dms:Text"/>
      </xsd:simpleType>
    </xsd:element>
    <xsd:element name="LocalizationTagsTaxHTField0" ma:index="87" nillable="true" ma:taxonomy="true" ma:internalName="LocalizationTagsTaxHTField0" ma:taxonomyFieldName="LocalizationTags" ma:displayName="Localization Tags" ma:readOnly="false" ma:default="" ma:fieldId="{726a1ece-9747-4e7d-9113-bc8295fd2c1d}" ma:taxonomyMulti="true" ma:sspId="8f79753a-75d3-41f5-8ca3-40b843941b4f" ma:termSetId="5b7703a5-8e8b-4b58-8b31-1cea35331da3" ma:anchorId="00000000-0000-0000-0000-000000000000" ma:open="false" ma:isKeyword="false">
      <xsd:complexType>
        <xsd:sequence>
          <xsd:element ref="pc:Terms" minOccurs="0" maxOccurs="1"/>
        </xsd:sequence>
      </xsd:complexType>
    </xsd:element>
    <xsd:element name="MachineTranslated" ma:index="88" nillable="true" ma:displayName="Machine Translated" ma:default="" ma:internalName="MachineTranslated" ma:readOnly="false">
      <xsd:simpleType>
        <xsd:restriction base="dms:Boolean"/>
      </xsd:simpleType>
    </xsd:element>
    <xsd:element name="Manager" ma:index="89" nillable="true" ma:displayName="Manager" ma:hidden="true" ma:internalName="Manager" ma:readOnly="false">
      <xsd:simpleType>
        <xsd:restriction base="dms:Text"/>
      </xsd:simpleType>
    </xsd:element>
    <xsd:element name="Markets" ma:index="90" nillable="true" ma:displayName="Markets" ma:default="" ma:description="Leave blank to show in all markets" ma:list="{85FC5A58-2851-427E-95B4-AFAF1C73BA4D}" ma:internalName="Markets" ma:readOnly="false" ma:showField="MarketName"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Milestone" ma:index="91" nillable="true" ma:displayName="Milestone" ma:default="" ma:internalName="Milestone" ma:readOnly="false">
      <xsd:simpleType>
        <xsd:restriction base="dms:Unknown"/>
      </xsd:simpleType>
    </xsd:element>
    <xsd:element name="TPNamespace" ma:index="94" nillable="true" ma:displayName="Namespace" ma:default="" ma:internalName="TPNamespace">
      <xsd:simpleType>
        <xsd:restriction base="dms:Text"/>
      </xsd:simpleType>
    </xsd:element>
    <xsd:element name="NumericId" ma:index="95" nillable="true" ma:displayName="Numeric ID" ma:default="" ma:indexed="true" ma:internalName="NumericId" ma:readOnly="false">
      <xsd:simpleType>
        <xsd:restriction base="dms:Number"/>
      </xsd:simpleType>
    </xsd:element>
    <xsd:element name="NumOfRatingsLookup" ma:index="96" nillable="true" ma:displayName="NumOfRatings" ma:default="" ma:list="{7F948D4D-A57E-4E3F-87E9-0ABE9F2D748E}" ma:internalName="NumOfRatingsLookup" ma:readOnly="true" ma:showField="NumOfRatings"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OOCacheId" ma:index="97" nillable="true" ma:displayName="OOCacheId" ma:internalName="OOCacheId" ma:readOnly="false">
      <xsd:simpleType>
        <xsd:restriction base="dms:Text"/>
      </xsd:simpleType>
    </xsd:element>
    <xsd:element name="OpenTemplate" ma:index="98" nillable="true" ma:displayName="Open Template" ma:default="true" ma:internalName="OpenTemplate">
      <xsd:simpleType>
        <xsd:restriction base="dms:Boolean"/>
      </xsd:simpleType>
    </xsd:element>
    <xsd:element name="OriginAsset" ma:index="99" nillable="true" ma:displayName="Origin Asset" ma:default="" ma:internalName="OriginAsset" ma:readOnly="false">
      <xsd:simpleType>
        <xsd:restriction base="dms:Text"/>
      </xsd:simpleType>
    </xsd:element>
    <xsd:element name="OriginalRelease" ma:index="100" nillable="true" ma:displayName="Original Release" ma:default="15" ma:internalName="OriginalRelease" ma:readOnly="false">
      <xsd:simpleType>
        <xsd:restriction base="dms:Choice">
          <xsd:enumeration value="14"/>
          <xsd:enumeration value="15"/>
          <xsd:enumeration value="16"/>
        </xsd:restriction>
      </xsd:simpleType>
    </xsd:element>
    <xsd:element name="OriginalSourceMarket" ma:index="101" nillable="true" ma:displayName="Original Source Market Group" ma:default="" ma:internalName="OriginalSourceMarket" ma:readOnly="false">
      <xsd:simpleType>
        <xsd:restriction base="dms:Text"/>
      </xsd:simpleType>
    </xsd:element>
    <xsd:element name="OutputCachingOn" ma:index="102" nillable="true" ma:displayName="Output Caching" ma:default="true" ma:hidden="true" ma:internalName="OutputCachingOn" ma:readOnly="false">
      <xsd:simpleType>
        <xsd:restriction base="dms:Boolean"/>
      </xsd:simpleType>
    </xsd:element>
    <xsd:element name="ParentAssetId" ma:index="103" nillable="true" ma:displayName="Parent Asset Id" ma:default="" ma:internalName="ParentAssetId" ma:readOnly="false">
      <xsd:simpleType>
        <xsd:restriction base="dms:Text"/>
      </xsd:simpleType>
    </xsd:element>
    <xsd:element name="PlannedPubDate" ma:index="104" nillable="true" ma:displayName="Planned Publish Date" ma:default="" ma:indexed="true" ma:internalName="PlannedPubDate" ma:readOnly="false">
      <xsd:simpleType>
        <xsd:restriction base="dms:DateTime"/>
      </xsd:simpleType>
    </xsd:element>
    <xsd:element name="PolicheckWords" ma:index="105" nillable="true" ma:displayName="Policheck Words" ma:default="" ma:internalName="PolicheckWords" ma:readOnly="false">
      <xsd:simpleType>
        <xsd:restriction base="dms:Text"/>
      </xsd:simpleType>
    </xsd:element>
    <xsd:element name="BusinessGroup" ma:index="106" nillable="true" ma:displayName="Product Division Owner" ma:default="" ma:internalName="BusinessGroup" ma:readOnly="false">
      <xsd:simpleType>
        <xsd:restriction base="dms:Unknown"/>
      </xsd:simpleType>
    </xsd:element>
    <xsd:element name="UAProjectedTotalWords" ma:index="107" nillable="true" ma:displayName="Projected Word Count" ma:default="" ma:internalName="UAProjectedTotalWords" ma:readOnly="false">
      <xsd:simpleType>
        <xsd:restriction base="dms:Unknown"/>
      </xsd:simpleType>
    </xsd:element>
    <xsd:element name="Provider" ma:index="108" nillable="true" ma:displayName="Provider" ma:default="" ma:internalName="Provider" ma:readOnly="false">
      <xsd:simpleType>
        <xsd:restriction base="dms:Unknown"/>
      </xsd:simpleType>
    </xsd:element>
    <xsd:element name="Providers" ma:index="109" nillable="true" ma:displayName="Providers" ma:default="" ma:internalName="Providers">
      <xsd:simpleType>
        <xsd:restriction base="dms:Unknown"/>
      </xsd:simpleType>
    </xsd:element>
    <xsd:element name="PublishStatusLookup" ma:index="110" nillable="true" ma:displayName="Publish Status" ma:default="" ma:list="{7F948D4D-A57E-4E3F-87E9-0ABE9F2D748E}" ma:internalName="PublishStatusLookup" ma:readOnly="false" ma:showField="PublishStatus"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PublishTargets" ma:index="111" nillable="true" ma:displayName="Publish Target" ma:default="OfficeOnlineVNext" ma:internalName="PublishTargets" ma:readOnly="false">
      <xsd:simpleType>
        <xsd:restriction base="dms:Unknown"/>
      </xsd:simpleType>
    </xsd:element>
    <xsd:element name="RecommendationsModifier" ma:index="112" nillable="true" ma:displayName="Recommendations Modifier" ma:default="" ma:internalName="RecommendationsModifier" ma:readOnly="false">
      <xsd:simpleType>
        <xsd:restriction base="dms:Number"/>
      </xsd:simpleType>
    </xsd:element>
    <xsd:element name="ArtSampleDocs" ma:index="113" nillable="true" ma:displayName="Sample Docs" ma:default="" ma:hidden="true" ma:internalName="ArtSampleDocs" ma:readOnly="false">
      <xsd:simpleType>
        <xsd:restriction base="dms:Text"/>
      </xsd:simpleType>
    </xsd:element>
    <xsd:element name="ScenarioTagsTaxHTField0" ma:index="115" nillable="true" ma:taxonomy="true" ma:internalName="ScenarioTagsTaxHTField0" ma:taxonomyFieldName="ScenarioTags" ma:displayName="Scenarios" ma:readOnly="false" ma:default="" ma:fieldId="{cba8db9d-85f8-47e4-85af-460188139726}" ma:taxonomyMulti="true" ma:sspId="8f79753a-75d3-41f5-8ca3-40b843941b4f" ma:termSetId="4b7d5f16-e2f2-4fc0-bab3-6e8b931e57d6" ma:anchorId="00000000-0000-0000-0000-000000000000" ma:open="false" ma:isKeyword="false">
      <xsd:complexType>
        <xsd:sequence>
          <xsd:element ref="pc:Terms" minOccurs="0" maxOccurs="1"/>
        </xsd:sequence>
      </xsd:complexType>
    </xsd:element>
    <xsd:element name="ShowIn" ma:index="117" nillable="true" ma:displayName="Show In" ma:default="Show everywhere" ma:internalName="ShowIn" ma:readOnly="false">
      <xsd:simpleType>
        <xsd:restriction base="dms:Choice">
          <xsd:enumeration value="Hide on web"/>
          <xsd:enumeration value="On Web no search"/>
          <xsd:enumeration value="Show everywhere"/>
          <xsd:enumeration value="Special use only"/>
        </xsd:restriction>
      </xsd:simpleType>
    </xsd:element>
    <xsd:element name="SourceTitle" ma:index="118" nillable="true" ma:displayName="Source Title" ma:default="" ma:indexed="true" ma:internalName="SourceTitle" ma:readOnly="false">
      <xsd:simpleType>
        <xsd:restriction base="dms:Text"/>
      </xsd:simpleType>
    </xsd:element>
    <xsd:element name="CSXSubmissionDate" ma:index="119" nillable="true" ma:displayName="Submission Date" ma:default="" ma:internalName="CSXSubmissionDate" ma:readOnly="false">
      <xsd:simpleType>
        <xsd:restriction base="dms:DateTime"/>
      </xsd:simpleType>
    </xsd:element>
    <xsd:element name="SubmitterId" ma:index="120" nillable="true" ma:displayName="Submitter ID" ma:default="" ma:internalName="SubmitterId" ma:readOnly="false">
      <xsd:simpleType>
        <xsd:restriction base="dms:Text"/>
      </xsd:simpleType>
    </xsd:element>
    <xsd:element name="TaxCatchAll" ma:index="121" nillable="true" ma:displayName="Taxonomy Catch All Column" ma:hidden="true" ma:list="{72161567-9e55-4761-b65c-3c8149bfc4ca}" ma:internalName="TaxCatchAll" ma:showField="CatchAllData"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TaxCatchAllLabel" ma:index="122" nillable="true" ma:displayName="Taxonomy Catch All Column1" ma:hidden="true" ma:list="{72161567-9e55-4761-b65c-3c8149bfc4ca}" ma:internalName="TaxCatchAllLabel" ma:readOnly="true" ma:showField="CatchAllDataLabel"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TemplateStatus" ma:index="123" nillable="true" ma:displayName="Template Status" ma:default="" ma:internalName="TemplateStatus">
      <xsd:simpleType>
        <xsd:restriction base="dms:Unknown"/>
      </xsd:simpleType>
    </xsd:element>
    <xsd:element name="TemplateTemplateType" ma:index="124" nillable="true" ma:displayName="Template Type" ma:default="" ma:internalName="TemplateTemplateType">
      <xsd:simpleType>
        <xsd:restriction base="dms:Unknown"/>
      </xsd:simpleType>
    </xsd:element>
    <xsd:element name="ThumbnailAssetId" ma:index="125" nillable="true" ma:displayName="Thumbnail Image Asset" ma:default="" ma:internalName="ThumbnailAssetId" ma:readOnly="false">
      <xsd:simpleType>
        <xsd:restriction base="dms:Text"/>
      </xsd:simpleType>
    </xsd:element>
    <xsd:element name="TimesCloned" ma:index="126" nillable="true" ma:displayName="Times Cloned" ma:default="" ma:internalName="TimesCloned" ma:readOnly="false">
      <xsd:simpleType>
        <xsd:restriction base="dms:Number"/>
      </xsd:simpleType>
    </xsd:element>
    <xsd:element name="TrustLevel" ma:index="128" nillable="true" ma:displayName="Trust Level" ma:default="1 Microsoft Managed Content" ma:internalName="TrustLevel" ma:readOnly="false">
      <xsd:simpleType>
        <xsd:restriction base="dms:Unknown"/>
      </xsd:simpleType>
    </xsd:element>
    <xsd:element name="UALocComments" ma:index="129" nillable="true" ma:displayName="UA Loc Comments" ma:default="" ma:internalName="UALocComments" ma:readOnly="false">
      <xsd:simpleType>
        <xsd:restriction base="dms:Note"/>
      </xsd:simpleType>
    </xsd:element>
    <xsd:element name="UALocRecommendation" ma:index="130" nillable="true" ma:displayName="UA Loc Recommendation" ma:default="Localize" ma:internalName="UALocRecommendation" ma:readOnly="false">
      <xsd:simpleType>
        <xsd:restriction base="dms:Choice">
          <xsd:enumeration value="Localize"/>
          <xsd:enumeration value="Never Localize"/>
          <xsd:enumeration value="Priority Localize"/>
        </xsd:restriction>
      </xsd:simpleType>
    </xsd:element>
    <xsd:element name="UANotes" ma:index="131" nillable="true" ma:displayName="UA Notes" ma:default="" ma:internalName="UANotes" ma:readOnly="false">
      <xsd:simpleType>
        <xsd:restriction base="dms:Note"/>
      </xsd:simpleType>
    </xsd:element>
    <xsd:element name="TPAppVersion" ma:index="132" nillable="true" ma:displayName="Version" ma:default="" ma:internalName="TPAppVersion">
      <xsd:simpleType>
        <xsd:restriction base="dms:Text"/>
      </xsd:simpleType>
    </xsd:element>
    <xsd:element name="VoteCount" ma:index="133" nillable="true" ma:displayName="Vote Count" ma:default="" ma:internalName="VoteCount"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0b64b53-fba7-43ca-b952-90e5e74773dd" elementFormDefault="qualified">
    <xsd:import namespace="http://schemas.microsoft.com/office/2006/documentManagement/types"/>
    <xsd:import namespace="http://schemas.microsoft.com/office/infopath/2007/PartnerControls"/>
    <xsd:element name="Description0" ma:index="134" nillable="true" ma:displayName="Description" ma:internalName="Description0">
      <xsd:simpleType>
        <xsd:restriction base="dms:Note"/>
      </xsd:simpleType>
    </xsd:element>
    <xsd:element name="Component0" ma:index="135" nillable="true" ma:displayName="Component" ma:internalName="Component0">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2" ma:displayName="Content Type"/>
        <xsd:element ref="dc:title" minOccurs="0" maxOccurs="1" ma:index="12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3A0A8440-9EDC-4373-879C-52032D13F477}"/>
</file>

<file path=customXml/itemProps2.xml><?xml version="1.0" encoding="utf-8"?>
<ds:datastoreItem xmlns:ds="http://schemas.openxmlformats.org/officeDocument/2006/customXml" ds:itemID="{20D7E5DD-3092-48C9-9A1B-BEF0022DA557}"/>
</file>

<file path=customXml/itemProps3.xml><?xml version="1.0" encoding="utf-8"?>
<ds:datastoreItem xmlns:ds="http://schemas.openxmlformats.org/officeDocument/2006/customXml" ds:itemID="{E62A1E02-192E-4108-AC42-DDB7C30B7B2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3</vt:i4>
      </vt:variant>
    </vt:vector>
  </HeadingPairs>
  <TitlesOfParts>
    <vt:vector size="6" baseType="lpstr">
      <vt:lpstr>个人资金跟踪器</vt:lpstr>
      <vt:lpstr>每月摘要</vt:lpstr>
      <vt:lpstr>图表数据</vt:lpstr>
      <vt:lpstr>AccountList</vt:lpstr>
      <vt:lpstr>PercentageAvailable</vt:lpstr>
      <vt:lpstr>每月摘要!Print_Titles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 in one money tracker</dc:title>
  <dc:creator/>
  <cp:lastModifiedBy>Nitthita Choochaisri</cp:lastModifiedBy>
  <cp:lastPrinted>2012-04-24T15:06:09Z</cp:lastPrinted>
  <dcterms:created xsi:type="dcterms:W3CDTF">2012-04-20T19:50:26Z</dcterms:created>
  <dcterms:modified xsi:type="dcterms:W3CDTF">2012-11-13T10:48:06Z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nternalTags">
    <vt:lpwstr/>
  </property>
  <property fmtid="{D5CDD505-2E9C-101B-9397-08002B2CF9AE}" pid="3" name="ContentTypeId">
    <vt:lpwstr>0x0101008D8B3457135D67479991424C624CBB4704002439B9162B2E88498A324BEFF3815221</vt:lpwstr>
  </property>
  <property fmtid="{D5CDD505-2E9C-101B-9397-08002B2CF9AE}" pid="4" name="FeatureTags">
    <vt:lpwstr/>
  </property>
  <property fmtid="{D5CDD505-2E9C-101B-9397-08002B2CF9AE}" pid="5" name="LocalizationTags">
    <vt:lpwstr/>
  </property>
  <property fmtid="{D5CDD505-2E9C-101B-9397-08002B2CF9AE}" pid="6" name="CampaignTags">
    <vt:lpwstr/>
  </property>
  <property fmtid="{D5CDD505-2E9C-101B-9397-08002B2CF9AE}" pid="7" name="ScenarioTags">
    <vt:lpwstr/>
  </property>
</Properties>
</file>