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/>
  <bookViews>
    <workbookView xWindow="0" yWindow="0" windowWidth="15480" windowHeight="7755"/>
  </bookViews>
  <sheets>
    <sheet name="指南" sheetId="4" r:id="rId1"/>
    <sheet name="年度现金流量" sheetId="1" r:id="rId2"/>
    <sheet name="每月现金流量" sheetId="2" r:id="rId3"/>
    <sheet name="每天现金流量" sheetId="3" r:id="rId4"/>
  </sheets>
  <definedNames>
    <definedName name="AnnualCashFlowToDate">tblIncome[[#Totals],[年度  ]]-tblExpenses[[#Totals],[年度  ]]-tblDiscretionary[[#Totals],[年度  ]]-tblSavings[[#Totals],[年度  ]]</definedName>
    <definedName name="DailyCashFlow">SUM(tblDailyTotals[每天])</definedName>
    <definedName name="MonthlyCashFlowToDate">tblMontly[[#Totals],[ 总计]]</definedName>
    <definedName name="_xlnm.Print_Area" localSheetId="1">年度现金流量!$A$1:$N$35</definedName>
    <definedName name="_xlnm.Print_Area" localSheetId="0">指南!$A$1:$L$34</definedName>
    <definedName name="_xlnm.Print_Area" localSheetId="3">每天现金流量!$A$1:$J$35</definedName>
    <definedName name="_xlnm.Print_Area" localSheetId="2">每月现金流量!$A$1:$M$35</definedName>
  </definedNames>
  <calcPr calcId="145621"/>
</workbook>
</file>

<file path=xl/calcChain.xml><?xml version="1.0" encoding="utf-8"?>
<calcChain xmlns="http://schemas.openxmlformats.org/spreadsheetml/2006/main">
  <c r="D56" i="3" l="1"/>
  <c r="O49" i="2" l="1"/>
  <c r="N49" i="2"/>
  <c r="M49" i="2"/>
  <c r="L49" i="2"/>
  <c r="K49" i="2"/>
  <c r="J49" i="2"/>
  <c r="I49" i="2"/>
  <c r="H49" i="2"/>
  <c r="G49" i="2"/>
  <c r="F49" i="2"/>
  <c r="E49" i="2"/>
  <c r="D49" i="2"/>
  <c r="D6" i="3" l="1"/>
  <c r="D7" i="3"/>
  <c r="D8" i="3"/>
  <c r="D9" i="3"/>
  <c r="F13" i="3"/>
  <c r="F14" i="3"/>
  <c r="E14" i="3" s="1"/>
  <c r="F15" i="3"/>
  <c r="E15" i="3" s="1"/>
  <c r="F16" i="3"/>
  <c r="E16" i="3" s="1"/>
  <c r="F17" i="3"/>
  <c r="E17" i="3" s="1"/>
  <c r="F18" i="3"/>
  <c r="E18" i="3" s="1"/>
  <c r="F19" i="3"/>
  <c r="F20" i="3"/>
  <c r="E20" i="3" s="1"/>
  <c r="F21" i="3"/>
  <c r="E21" i="3" s="1"/>
  <c r="F22" i="3"/>
  <c r="E22" i="3" s="1"/>
  <c r="F23" i="3"/>
  <c r="E23" i="3" s="1"/>
  <c r="F24" i="3"/>
  <c r="E24" i="3" s="1"/>
  <c r="F25" i="3"/>
  <c r="E25" i="3" s="1"/>
  <c r="F26" i="3"/>
  <c r="E26" i="3" s="1"/>
  <c r="F27" i="3"/>
  <c r="E27" i="3" s="1"/>
  <c r="F28" i="3"/>
  <c r="E28" i="3" s="1"/>
  <c r="F29" i="3"/>
  <c r="E29" i="3" s="1"/>
  <c r="F30" i="3"/>
  <c r="E30" i="3" s="1"/>
  <c r="F31" i="3"/>
  <c r="E31" i="3" s="1"/>
  <c r="F32" i="3"/>
  <c r="E32" i="3" s="1"/>
  <c r="F33" i="3"/>
  <c r="E33" i="3" s="1"/>
  <c r="F34" i="3"/>
  <c r="E34" i="3" s="1"/>
  <c r="F35" i="3"/>
  <c r="E35" i="3" s="1"/>
  <c r="F36" i="3"/>
  <c r="E36" i="3" s="1"/>
  <c r="F37" i="3"/>
  <c r="E37" i="3" s="1"/>
  <c r="F38" i="3"/>
  <c r="E38" i="3" s="1"/>
  <c r="F39" i="3"/>
  <c r="E39" i="3" s="1"/>
  <c r="F40" i="3"/>
  <c r="E40" i="3" s="1"/>
  <c r="F41" i="3"/>
  <c r="E41" i="3" s="1"/>
  <c r="F42" i="3"/>
  <c r="E42" i="3" s="1"/>
  <c r="F43" i="3"/>
  <c r="E43" i="3" s="1"/>
  <c r="F44" i="3"/>
  <c r="E44" i="3" s="1"/>
  <c r="F45" i="3"/>
  <c r="E45" i="3" s="1"/>
  <c r="F46" i="3"/>
  <c r="E46" i="3" s="1"/>
  <c r="F47" i="3"/>
  <c r="E47" i="3" s="1"/>
  <c r="F48" i="3"/>
  <c r="E48" i="3" s="1"/>
  <c r="F49" i="3"/>
  <c r="E49" i="3" s="1"/>
  <c r="F50" i="3"/>
  <c r="E50" i="3" s="1"/>
  <c r="F51" i="3"/>
  <c r="E51" i="3" s="1"/>
  <c r="F52" i="3"/>
  <c r="E52" i="3" s="1"/>
  <c r="F53" i="3"/>
  <c r="E53" i="3" s="1"/>
  <c r="F54" i="3"/>
  <c r="E54" i="3" s="1"/>
  <c r="F55" i="3"/>
  <c r="E55" i="3" s="1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34" i="1"/>
  <c r="D35" i="1"/>
  <c r="D34" i="1"/>
  <c r="P33" i="1"/>
  <c r="O35" i="1"/>
  <c r="O6" i="1" s="1"/>
  <c r="P30" i="1"/>
  <c r="P31" i="1"/>
  <c r="P32" i="1"/>
  <c r="L40" i="1"/>
  <c r="L39" i="1"/>
  <c r="K41" i="1"/>
  <c r="K6" i="1" s="1"/>
  <c r="L30" i="1"/>
  <c r="L31" i="1"/>
  <c r="L32" i="1"/>
  <c r="L33" i="1"/>
  <c r="L34" i="1"/>
  <c r="L35" i="1"/>
  <c r="L36" i="1"/>
  <c r="L37" i="1"/>
  <c r="L38" i="1"/>
  <c r="G48" i="1"/>
  <c r="G6" i="1" s="1"/>
  <c r="C36" i="1"/>
  <c r="C6" i="1" s="1"/>
  <c r="H47" i="1"/>
  <c r="H46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D30" i="1"/>
  <c r="D31" i="1"/>
  <c r="D32" i="1"/>
  <c r="D33" i="1"/>
  <c r="P49" i="2" l="1"/>
  <c r="E13" i="3"/>
  <c r="F56" i="3"/>
  <c r="B2" i="3"/>
  <c r="B2" i="1"/>
  <c r="E6" i="3"/>
  <c r="E8" i="3"/>
  <c r="E9" i="3"/>
  <c r="F7" i="3"/>
  <c r="F6" i="3"/>
  <c r="F9" i="3"/>
  <c r="F8" i="3"/>
  <c r="E19" i="3"/>
  <c r="E7" i="3" s="1"/>
  <c r="B2" i="2"/>
  <c r="P35" i="1"/>
  <c r="O26" i="1" s="1"/>
  <c r="H48" i="1"/>
  <c r="G26" i="1" s="1"/>
  <c r="L41" i="1"/>
  <c r="K26" i="1" s="1"/>
  <c r="D36" i="1"/>
  <c r="C26" i="1" s="1"/>
  <c r="E56" i="3" l="1"/>
</calcChain>
</file>

<file path=xl/sharedStrings.xml><?xml version="1.0" encoding="utf-8"?>
<sst xmlns="http://schemas.openxmlformats.org/spreadsheetml/2006/main" count="286" uniqueCount="131">
  <si>
    <t xml:space="preserve"> </t>
  </si>
  <si>
    <t>个人现金流</t>
  </si>
  <si>
    <t>年度现金流</t>
  </si>
  <si>
    <t>请输入不同区域的年度现金流量。了解每月细目和所有事项的比较，以及最重要的您对年度和每月数值的底线是什么。</t>
  </si>
  <si>
    <t>每月现金流</t>
  </si>
  <si>
    <t>请输入每月的月度现金流量，或预计余下的月份，以便了解每月预计的现金流量。</t>
  </si>
  <si>
    <t>每日现金流</t>
  </si>
  <si>
    <t>请输入每天的预计金额，并查看预计的每月和年度总额。使用它来了解在一个月或一年的进程中您每天的消费习惯。</t>
  </si>
  <si>
    <t>收益汇总</t>
  </si>
  <si>
    <t>费用汇总</t>
  </si>
  <si>
    <t>可支配汇总</t>
  </si>
  <si>
    <t>储蓄汇总</t>
  </si>
  <si>
    <t>年度总计:</t>
  </si>
  <si>
    <t>每月总额:</t>
  </si>
  <si>
    <t xml:space="preserve"> 收入</t>
  </si>
  <si>
    <t xml:space="preserve"> 薪金</t>
  </si>
  <si>
    <t xml:space="preserve"> 佣金/奖金</t>
  </si>
  <si>
    <t xml:space="preserve"> 其他 1</t>
  </si>
  <si>
    <t xml:space="preserve"> 其他 2</t>
  </si>
  <si>
    <t xml:space="preserve"> 其他 3</t>
  </si>
  <si>
    <t xml:space="preserve"> 其他 4</t>
  </si>
  <si>
    <t xml:space="preserve"> 支出</t>
  </si>
  <si>
    <t xml:space="preserve"> 个人所得税/社保/医保</t>
  </si>
  <si>
    <t xml:space="preserve"> 工伤保险</t>
  </si>
  <si>
    <t xml:space="preserve"> 汽车税/费用</t>
  </si>
  <si>
    <t xml:space="preserve"> 汽车费用</t>
  </si>
  <si>
    <t xml:space="preserve"> 按揭/租金</t>
  </si>
  <si>
    <t xml:space="preserve"> 保险</t>
  </si>
  <si>
    <t xml:space="preserve"> 电费</t>
  </si>
  <si>
    <t xml:space="preserve"> 燃气费</t>
  </si>
  <si>
    <t xml:space="preserve"> 水费</t>
  </si>
  <si>
    <t xml:space="preserve"> 垃圾费</t>
  </si>
  <si>
    <t xml:space="preserve"> 电话费</t>
  </si>
  <si>
    <t xml:space="preserve"> 网费</t>
  </si>
  <si>
    <t xml:space="preserve"> 人寿/伤残保险费</t>
  </si>
  <si>
    <t xml:space="preserve"> 饮食支出</t>
  </si>
  <si>
    <t xml:space="preserve"> 服装支出</t>
  </si>
  <si>
    <t xml:space="preserve"> 医疗/牙科</t>
  </si>
  <si>
    <t xml:space="preserve"> 可支配费用</t>
  </si>
  <si>
    <t xml:space="preserve"> 餐饮支出</t>
  </si>
  <si>
    <t xml:space="preserve"> 礼品支出</t>
  </si>
  <si>
    <t xml:space="preserve"> 旅游支出</t>
  </si>
  <si>
    <t xml:space="preserve"> 娱乐支出</t>
  </si>
  <si>
    <t xml:space="preserve"> 个人护理支出</t>
  </si>
  <si>
    <t xml:space="preserve"> 购物支出</t>
  </si>
  <si>
    <t xml:space="preserve"> 慈善支出</t>
  </si>
  <si>
    <t xml:space="preserve"> 俱乐部/会员费</t>
  </si>
  <si>
    <t xml:space="preserve"> 家庭改善支出</t>
  </si>
  <si>
    <t xml:space="preserve"> 储蓄</t>
  </si>
  <si>
    <t xml:space="preserve"> 现金储备</t>
  </si>
  <si>
    <t xml:space="preserve"> 退休金</t>
  </si>
  <si>
    <t xml:space="preserve"> 储蓄/投资</t>
  </si>
  <si>
    <t xml:space="preserve">年度  </t>
  </si>
  <si>
    <t xml:space="preserve">每月 </t>
  </si>
  <si>
    <t xml:space="preserve"> 总计</t>
  </si>
  <si>
    <t xml:space="preserve">  总计</t>
  </si>
  <si>
    <t>收入</t>
  </si>
  <si>
    <t xml:space="preserve"> 污水处理费</t>
  </si>
  <si>
    <t xml:space="preserve"> 公交</t>
  </si>
  <si>
    <t xml:space="preserve"> 储蓄/投资帐户</t>
  </si>
  <si>
    <t xml:space="preserve"> 类型</t>
  </si>
  <si>
    <t xml:space="preserve"> 描述</t>
  </si>
  <si>
    <t xml:space="preserve"> 一月</t>
  </si>
  <si>
    <t xml:space="preserve"> 二月</t>
  </si>
  <si>
    <t xml:space="preserve"> 三月</t>
  </si>
  <si>
    <t xml:space="preserve"> 四月</t>
  </si>
  <si>
    <t xml:space="preserve"> 五月</t>
  </si>
  <si>
    <t xml:space="preserve"> 六月</t>
  </si>
  <si>
    <t xml:space="preserve"> 七月</t>
  </si>
  <si>
    <t xml:space="preserve"> 八月</t>
  </si>
  <si>
    <t xml:space="preserve"> 九月</t>
  </si>
  <si>
    <t xml:space="preserve"> 十月</t>
  </si>
  <si>
    <t xml:space="preserve"> 十一月</t>
  </si>
  <si>
    <t xml:space="preserve"> 十二月</t>
  </si>
  <si>
    <t>备注：对于日常事项，请预计每月金额/值，并将该值放置在相应的月份栏。</t>
    <phoneticPr fontId="8" type="noConversion"/>
  </si>
  <si>
    <t>收入</t>
    <phoneticPr fontId="8" type="noConversion"/>
  </si>
  <si>
    <t>收入</t>
    <phoneticPr fontId="8" type="noConversion"/>
  </si>
  <si>
    <t>支出</t>
  </si>
  <si>
    <t>可支配</t>
  </si>
  <si>
    <t>储蓄</t>
  </si>
  <si>
    <t>个人现金流</t>
    <phoneticPr fontId="8" type="noConversion"/>
  </si>
  <si>
    <t>此为年度预计。如果您希望查看含每月预计值的年度金额，请使用本工作表。如果您希望添加日常事项到表格中，请预计其年度金额/值，并将值放置在“年度”一栏。</t>
    <phoneticPr fontId="8" type="noConversion"/>
  </si>
  <si>
    <t>个人现金流</t>
    <phoneticPr fontId="8" type="noConversion"/>
  </si>
  <si>
    <t>每天汇总</t>
    <phoneticPr fontId="8" type="noConversion"/>
  </si>
  <si>
    <t>每天</t>
  </si>
  <si>
    <t>每月</t>
  </si>
  <si>
    <t>描述</t>
  </si>
  <si>
    <t>年度</t>
  </si>
  <si>
    <t>薪金</t>
  </si>
  <si>
    <t>工伤保险</t>
  </si>
  <si>
    <t>汽车费用</t>
  </si>
  <si>
    <t>保险</t>
  </si>
  <si>
    <t>电费</t>
  </si>
  <si>
    <t>燃气费</t>
  </si>
  <si>
    <t>水费</t>
  </si>
  <si>
    <t>污水处理费</t>
  </si>
  <si>
    <t>垃圾费</t>
  </si>
  <si>
    <t>电话费</t>
  </si>
  <si>
    <t>网费</t>
  </si>
  <si>
    <t>饮食支出</t>
  </si>
  <si>
    <t>服装支出</t>
  </si>
  <si>
    <t>公交</t>
  </si>
  <si>
    <t>餐饮支出</t>
  </si>
  <si>
    <t>礼品支出</t>
  </si>
  <si>
    <t>旅游支出</t>
  </si>
  <si>
    <t>娱乐支出</t>
  </si>
  <si>
    <t>个人护理支出</t>
  </si>
  <si>
    <t>购物支出</t>
  </si>
  <si>
    <t>慈善支出</t>
  </si>
  <si>
    <t>家庭改善支出</t>
  </si>
  <si>
    <t>现金储备</t>
  </si>
  <si>
    <t>退休金</t>
  </si>
  <si>
    <t>支出</t>
    <phoneticPr fontId="8" type="noConversion"/>
  </si>
  <si>
    <t>可支配</t>
    <phoneticPr fontId="8" type="noConversion"/>
  </si>
  <si>
    <t>储蓄</t>
    <phoneticPr fontId="8" type="noConversion"/>
  </si>
  <si>
    <t xml:space="preserve"> 总计 </t>
  </si>
  <si>
    <t xml:space="preserve">年度 </t>
  </si>
  <si>
    <t>佣金/奖金</t>
  </si>
  <si>
    <t>其他 1</t>
  </si>
  <si>
    <t>其他 2</t>
  </si>
  <si>
    <t>其他 3</t>
  </si>
  <si>
    <t>其他 4</t>
  </si>
  <si>
    <t>个人所得税/社保/医保</t>
  </si>
  <si>
    <t>汽车税/费用</t>
  </si>
  <si>
    <t>按揭/租金</t>
  </si>
  <si>
    <t>人寿/伤残保险费</t>
  </si>
  <si>
    <t>医疗/牙科</t>
  </si>
  <si>
    <t>俱乐部/会员费</t>
  </si>
  <si>
    <t>储蓄/投资帐户</t>
  </si>
  <si>
    <t>备注: 如果您希望添加日常事项到表格中，请预计其每月金额/值，并将值放置在相应的月份栏。</t>
    <phoneticPr fontId="8" type="noConversion"/>
  </si>
  <si>
    <t>本工作簿具有年度、 每月和每天的现金流量表。 请选择最适合的现金流量类型，或全部使用以便了解您的个人现金流量。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</si>
</sst>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¥&quot;#,##0.00;&quot;¥&quot;\!\!\!\-#,##0.00"/>
    <numFmt numFmtId="165" formatCode="_(* #,##0.00_);_(* \!\!\!\(#,##0.00\!\!\!\);_(* &quot;-&quot;??_);_(@_)"/>
    <numFmt numFmtId="166" formatCode="&quot;$&quot;#,##0.00"/>
    <numFmt numFmtId="167" formatCode="_)@"/>
    <numFmt numFmtId="168" formatCode="&quot;¥&quot;#,##0.00_);\!\!\!\(&quot;¥&quot;#,##0.00\!\!\!\)"/>
  </numFmts>
  <fonts count="21">
    <font>
      <sz val="10"/>
      <name val="Calibri"/>
      <family val="2"/>
      <scheme val="minor"/>
    </font>
    <font>
      <b/>
      <sz val="16"/>
      <color theme="3" tint="0.749961851863155"/>
      <name val="Calibri"/>
      <family val="2"/>
      <scheme val="minor"/>
    </font>
    <font>
      <b/>
      <sz val="24"/>
      <color theme="5" tint="-0.24994659260841701"/>
      <name val="Calibri"/>
      <family val="2"/>
      <scheme val="major"/>
    </font>
    <font>
      <b/>
      <sz val="14"/>
      <color theme="3" tint="0.24994659260841701"/>
      <name val="Calibri"/>
      <family val="2"/>
      <scheme val="major"/>
    </font>
    <font>
      <b/>
      <sz val="11"/>
      <color theme="3" tint="0.24994659260841701"/>
      <name val="Calibri"/>
      <family val="2"/>
      <scheme val="major"/>
    </font>
    <font>
      <b/>
      <sz val="12"/>
      <color theme="3" tint="0.24994659260841701"/>
      <name val="Calibri"/>
      <family val="2"/>
      <scheme val="major"/>
    </font>
    <font>
      <sz val="36"/>
      <color theme="3" tint="0.24994659260841701"/>
      <name val="Calibri"/>
      <family val="2"/>
      <scheme val="major"/>
    </font>
    <font>
      <sz val="10"/>
      <name val="Calibri"/>
      <family val="2"/>
      <scheme val="minor"/>
    </font>
    <font>
      <sz val="9"/>
      <name val="Calibri"/>
      <family val="3"/>
      <charset val="134"/>
      <scheme val="minor"/>
    </font>
    <font>
      <sz val="14"/>
      <color theme="3" tint="0.499984740745262"/>
      <name val="Microsoft YaHei UI"/>
      <family val="2"/>
      <charset val="134"/>
    </font>
    <font>
      <sz val="10"/>
      <name val="Microsoft YaHei UI"/>
      <family val="2"/>
      <charset val="134"/>
    </font>
    <font>
      <sz val="36"/>
      <color theme="3" tint="0.24994659260841701"/>
      <name val="Microsoft YaHei UI"/>
      <family val="2"/>
      <charset val="134"/>
    </font>
    <font>
      <b/>
      <sz val="14"/>
      <color theme="0"/>
      <name val="Microsoft YaHei UI"/>
      <family val="2"/>
      <charset val="134"/>
    </font>
    <font>
      <sz val="11"/>
      <color theme="3" tint="0.24994659260841701"/>
      <name val="Microsoft YaHei UI"/>
      <family val="2"/>
      <charset val="134"/>
    </font>
    <font>
      <b/>
      <sz val="16"/>
      <color theme="3" tint="0.749961851863155"/>
      <name val="Microsoft YaHei UI"/>
      <family val="2"/>
      <charset val="134"/>
    </font>
    <font>
      <b/>
      <sz val="24"/>
      <color theme="5" tint="-0.24994659260841701"/>
      <name val="Microsoft YaHei UI"/>
      <family val="2"/>
      <charset val="134"/>
    </font>
    <font>
      <sz val="10"/>
      <color theme="3" tint="0.249977111117893"/>
      <name val="Microsoft YaHei UI"/>
      <family val="2"/>
      <charset val="134"/>
    </font>
    <font>
      <b/>
      <sz val="11"/>
      <color theme="3" tint="0.24994659260841701"/>
      <name val="Microsoft YaHei UI"/>
      <family val="2"/>
      <charset val="134"/>
    </font>
    <font>
      <sz val="9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b/>
      <sz val="12"/>
      <color theme="3" tint="0.24994659260841701"/>
      <name val="Microsoft YaHei UI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  <fill>
      <patternFill patternType="solid">
        <fgColor theme="3" tint="0.2499465926084170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3" tint="0.749961851863155"/>
      </bottom>
      <diagonal/>
    </border>
    <border>
      <left/>
      <right/>
      <top/>
      <bottom style="dashed">
        <color theme="3" tint="0.499984740745262"/>
      </bottom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medium">
        <color theme="3" tint="0.24994659260841701"/>
      </bottom>
      <diagonal/>
    </border>
  </borders>
  <cellStyleXfs count="8">
    <xf numFmtId="0" fontId="0" fillId="9" borderId="0">
      <alignment vertical="center"/>
    </xf>
    <xf numFmtId="0" fontId="1" fillId="3" borderId="0" applyNumberFormat="0" applyProtection="0">
      <alignment vertical="center"/>
    </xf>
    <xf numFmtId="0" fontId="2" fillId="3" borderId="0" applyNumberFormat="0" applyFill="0" applyProtection="0">
      <alignment horizontal="left" vertical="center"/>
    </xf>
    <xf numFmtId="0" fontId="3" fillId="0" borderId="3" applyNumberFormat="0" applyFill="0" applyProtection="0">
      <alignment vertical="center"/>
    </xf>
    <xf numFmtId="0" fontId="4" fillId="0" borderId="2" applyNumberFormat="0" applyFill="0" applyProtection="0">
      <alignment vertical="center"/>
    </xf>
    <xf numFmtId="0" fontId="5" fillId="7" borderId="4" applyNumberFormat="0" applyProtection="0">
      <alignment horizontal="left" vertical="center" indent="1"/>
    </xf>
    <xf numFmtId="0" fontId="6" fillId="9" borderId="0" applyNumberFormat="0" applyBorder="0" applyAlignment="0" applyProtection="0"/>
    <xf numFmtId="165" fontId="7" fillId="0" borderId="0" applyFont="0" applyFill="0" applyBorder="0" applyAlignment="0" applyProtection="0"/>
  </cellStyleXfs>
  <cellXfs count="58">
    <xf numFmtId="0" fontId="0" fillId="9" borderId="0" xfId="0">
      <alignment vertical="center"/>
    </xf>
    <xf numFmtId="0" fontId="10" fillId="3" borderId="0" xfId="0" applyFont="1" applyFill="1">
      <alignment vertical="center"/>
    </xf>
    <xf numFmtId="0" fontId="11" fillId="9" borderId="0" xfId="6" applyFont="1"/>
    <xf numFmtId="0" fontId="10" fillId="9" borderId="0" xfId="0" applyFont="1">
      <alignment vertical="center"/>
    </xf>
    <xf numFmtId="0" fontId="10" fillId="9" borderId="1" xfId="0" applyFont="1" applyBorder="1">
      <alignment vertical="center"/>
    </xf>
    <xf numFmtId="0" fontId="12" fillId="2" borderId="0" xfId="0" applyFont="1" applyFill="1" applyAlignment="1">
      <alignment horizontal="left" vertical="center" indent="1"/>
    </xf>
    <xf numFmtId="0" fontId="12" fillId="4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left" vertical="center" indent="1"/>
    </xf>
    <xf numFmtId="0" fontId="12" fillId="10" borderId="0" xfId="0" applyFont="1" applyFill="1" applyAlignment="1">
      <alignment horizontal="left" vertical="center" indent="1"/>
    </xf>
    <xf numFmtId="0" fontId="12" fillId="11" borderId="0" xfId="0" applyFont="1" applyFill="1" applyAlignment="1">
      <alignment horizontal="left" vertical="center" indent="1"/>
    </xf>
    <xf numFmtId="0" fontId="12" fillId="5" borderId="0" xfId="0" applyFont="1" applyFill="1" applyAlignment="1">
      <alignment horizontal="left" vertical="center" indent="1"/>
    </xf>
    <xf numFmtId="0" fontId="13" fillId="10" borderId="0" xfId="0" applyFont="1" applyFill="1" applyAlignment="1">
      <alignment horizontal="left" vertical="top" wrapText="1" indent="1"/>
    </xf>
    <xf numFmtId="0" fontId="13" fillId="11" borderId="0" xfId="0" applyFont="1" applyFill="1" applyAlignment="1">
      <alignment horizontal="left" vertical="top" wrapText="1" indent="1"/>
    </xf>
    <xf numFmtId="0" fontId="13" fillId="5" borderId="0" xfId="0" applyFont="1" applyFill="1" applyAlignment="1">
      <alignment horizontal="left" vertical="top" wrapText="1" indent="1"/>
    </xf>
    <xf numFmtId="0" fontId="14" fillId="3" borderId="0" xfId="1" applyFont="1" applyFill="1">
      <alignment vertical="center"/>
    </xf>
    <xf numFmtId="164" fontId="10" fillId="3" borderId="0" xfId="0" applyNumberFormat="1" applyFont="1" applyFill="1">
      <alignment vertical="center"/>
    </xf>
    <xf numFmtId="164" fontId="10" fillId="9" borderId="0" xfId="0" applyNumberFormat="1" applyFont="1">
      <alignment vertical="center"/>
    </xf>
    <xf numFmtId="167" fontId="18" fillId="9" borderId="0" xfId="0" applyNumberFormat="1" applyFont="1" applyFill="1" applyBorder="1">
      <alignment vertical="center"/>
    </xf>
    <xf numFmtId="164" fontId="18" fillId="9" borderId="0" xfId="0" applyNumberFormat="1" applyFont="1" applyFill="1" applyBorder="1">
      <alignment vertical="center"/>
    </xf>
    <xf numFmtId="166" fontId="18" fillId="9" borderId="0" xfId="0" applyNumberFormat="1" applyFont="1" applyFill="1" applyBorder="1">
      <alignment vertical="center"/>
    </xf>
    <xf numFmtId="0" fontId="19" fillId="8" borderId="3" xfId="3" applyFont="1" applyFill="1" applyAlignment="1">
      <alignment horizontal="left" vertical="center" indent="1"/>
    </xf>
    <xf numFmtId="0" fontId="19" fillId="8" borderId="3" xfId="3" applyFont="1" applyFill="1">
      <alignment vertical="center"/>
    </xf>
    <xf numFmtId="0" fontId="17" fillId="8" borderId="2" xfId="4" applyNumberFormat="1" applyFont="1" applyFill="1" applyAlignment="1">
      <alignment horizontal="left" vertical="center" indent="1"/>
    </xf>
    <xf numFmtId="0" fontId="17" fillId="8" borderId="2" xfId="4" applyFont="1" applyFill="1" applyAlignment="1">
      <alignment horizontal="left" vertical="center" indent="1"/>
    </xf>
    <xf numFmtId="0" fontId="10" fillId="8" borderId="0" xfId="0" applyFont="1" applyFill="1">
      <alignment vertical="center"/>
    </xf>
    <xf numFmtId="0" fontId="17" fillId="8" borderId="2" xfId="4" applyFont="1" applyFill="1">
      <alignment vertical="center"/>
    </xf>
    <xf numFmtId="0" fontId="17" fillId="8" borderId="0" xfId="4" applyFont="1" applyFill="1" applyBorder="1">
      <alignment vertical="center"/>
    </xf>
    <xf numFmtId="166" fontId="17" fillId="8" borderId="0" xfId="4" applyNumberFormat="1" applyFont="1" applyFill="1" applyBorder="1" applyAlignment="1">
      <alignment horizontal="right" vertical="center"/>
    </xf>
    <xf numFmtId="0" fontId="10" fillId="9" borderId="0" xfId="0" applyFont="1" applyBorder="1">
      <alignment vertical="center"/>
    </xf>
    <xf numFmtId="166" fontId="17" fillId="8" borderId="2" xfId="4" applyNumberFormat="1" applyFont="1" applyFill="1" applyAlignment="1">
      <alignment horizontal="right" vertical="center"/>
    </xf>
    <xf numFmtId="167" fontId="10" fillId="9" borderId="0" xfId="0" applyNumberFormat="1" applyFont="1" applyFill="1" applyBorder="1" applyAlignment="1"/>
    <xf numFmtId="0" fontId="10" fillId="9" borderId="0" xfId="0" applyFont="1" applyFill="1" applyBorder="1" applyAlignment="1">
      <alignment horizontal="right"/>
    </xf>
    <xf numFmtId="167" fontId="10" fillId="9" borderId="0" xfId="0" applyNumberFormat="1" applyFont="1" applyFill="1" applyBorder="1" applyAlignment="1">
      <alignment vertical="center"/>
    </xf>
    <xf numFmtId="164" fontId="10" fillId="9" borderId="0" xfId="0" applyNumberFormat="1" applyFont="1" applyFill="1" applyBorder="1" applyAlignment="1">
      <alignment horizontal="right" vertical="center"/>
    </xf>
    <xf numFmtId="164" fontId="18" fillId="9" borderId="0" xfId="0" applyNumberFormat="1" applyFont="1" applyFill="1" applyBorder="1" applyAlignment="1">
      <alignment horizontal="right" vertical="center"/>
    </xf>
    <xf numFmtId="167" fontId="20" fillId="12" borderId="4" xfId="5" applyNumberFormat="1" applyFont="1" applyFill="1" applyAlignment="1">
      <alignment horizontal="left" vertical="center"/>
    </xf>
    <xf numFmtId="0" fontId="20" fillId="12" borderId="4" xfId="5" applyFont="1" applyFill="1">
      <alignment horizontal="left" vertical="center" indent="1"/>
    </xf>
    <xf numFmtId="167" fontId="10" fillId="12" borderId="0" xfId="0" applyNumberFormat="1" applyFont="1" applyFill="1" applyBorder="1" applyAlignment="1">
      <alignment horizontal="left" vertical="center"/>
    </xf>
    <xf numFmtId="0" fontId="10" fillId="12" borderId="0" xfId="0" applyFont="1" applyFill="1" applyBorder="1" applyAlignment="1">
      <alignment vertical="center"/>
    </xf>
    <xf numFmtId="0" fontId="10" fillId="12" borderId="0" xfId="0" applyFont="1" applyFill="1" applyBorder="1" applyAlignment="1">
      <alignment horizontal="right" vertical="center"/>
    </xf>
    <xf numFmtId="168" fontId="10" fillId="12" borderId="0" xfId="0" applyNumberFormat="1" applyFont="1" applyFill="1" applyBorder="1" applyAlignment="1">
      <alignment vertical="center"/>
    </xf>
    <xf numFmtId="167" fontId="10" fillId="9" borderId="0" xfId="0" applyNumberFormat="1" applyFont="1" applyFill="1" applyBorder="1" applyAlignment="1">
      <alignment horizontal="left" vertical="center"/>
    </xf>
    <xf numFmtId="0" fontId="10" fillId="9" borderId="0" xfId="0" applyFont="1" applyFill="1" applyBorder="1" applyAlignment="1">
      <alignment vertical="center"/>
    </xf>
    <xf numFmtId="167" fontId="10" fillId="9" borderId="0" xfId="0" applyNumberFormat="1" applyFont="1" applyFill="1" applyBorder="1" applyAlignment="1">
      <alignment horizontal="left"/>
    </xf>
    <xf numFmtId="0" fontId="10" fillId="9" borderId="0" xfId="0" applyFont="1" applyFill="1" applyBorder="1">
      <alignment vertical="center"/>
    </xf>
    <xf numFmtId="168" fontId="10" fillId="9" borderId="0" xfId="0" applyNumberFormat="1" applyFont="1" applyFill="1" applyBorder="1">
      <alignment vertical="center"/>
    </xf>
    <xf numFmtId="165" fontId="10" fillId="9" borderId="0" xfId="7" applyFont="1" applyFill="1" applyBorder="1" applyAlignment="1">
      <alignment horizontal="left"/>
    </xf>
    <xf numFmtId="166" fontId="10" fillId="9" borderId="0" xfId="0" applyNumberFormat="1" applyFont="1" applyFill="1" applyBorder="1">
      <alignment vertical="center"/>
    </xf>
    <xf numFmtId="0" fontId="9" fillId="9" borderId="0" xfId="0" applyFont="1" applyAlignment="1">
      <alignment wrapText="1"/>
    </xf>
    <xf numFmtId="164" fontId="17" fillId="8" borderId="2" xfId="4" applyNumberFormat="1" applyFont="1" applyFill="1" applyAlignment="1">
      <alignment horizontal="right" vertical="center"/>
    </xf>
    <xf numFmtId="0" fontId="16" fillId="9" borderId="0" xfId="0" applyFont="1" applyAlignment="1">
      <alignment horizontal="left" vertical="center" wrapText="1"/>
    </xf>
    <xf numFmtId="0" fontId="16" fillId="9" borderId="0" xfId="0" applyFont="1" applyAlignment="1">
      <alignment horizontal="left" vertical="center"/>
    </xf>
    <xf numFmtId="0" fontId="10" fillId="8" borderId="0" xfId="0" applyFont="1" applyFill="1" applyAlignment="1">
      <alignment horizontal="center"/>
    </xf>
    <xf numFmtId="168" fontId="15" fillId="6" borderId="0" xfId="2" applyNumberFormat="1" applyFont="1" applyFill="1" applyAlignment="1">
      <alignment horizontal="left" vertical="center"/>
    </xf>
    <xf numFmtId="0" fontId="10" fillId="9" borderId="0" xfId="0" applyFont="1" applyAlignment="1">
      <alignment horizontal="center"/>
    </xf>
    <xf numFmtId="0" fontId="16" fillId="9" borderId="0" xfId="0" applyFont="1" applyAlignment="1">
      <alignment horizontal="right" vertical="center" wrapText="1"/>
    </xf>
    <xf numFmtId="168" fontId="15" fillId="9" borderId="0" xfId="2" applyNumberFormat="1" applyFont="1" applyFill="1" applyAlignment="1">
      <alignment horizontal="left" vertical="center"/>
    </xf>
    <xf numFmtId="166" fontId="10" fillId="12" borderId="0" xfId="0" applyNumberFormat="1" applyFont="1" applyFill="1" applyBorder="1" applyAlignment="1"/>
  </cellXfs>
  <cellStyles count="8">
    <cellStyle name="Comma" xfId="7" builtinId="3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eading 5" xfId="5"/>
    <cellStyle name="Normal" xfId="0" builtinId="0" customBuiltin="1"/>
    <cellStyle name="Title" xfId="6" builtinId="15" customBuiltin="1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&quot;$&quot;#,##0.00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&quot;$&quot;#,##0.00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&quot;$&quot;#,##0.00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vertAlign val="baseline"/>
        <name val="Microsoft YaHei UI"/>
        <scheme val="none"/>
      </font>
      <numFmt numFmtId="167" formatCode="_)@"/>
      <fill>
        <patternFill patternType="solid">
          <fgColor indexed="64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8" formatCode="&quot;¥&quot;#,##0.00_);\!\!\!\(&quot;¥&quot;#,##0.00\!\!\!\)"/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8" formatCode="&quot;¥&quot;#,##0.00_);\!\!\!\(&quot;¥&quot;#,##0.00\!\!\!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6" formatCode="&quot;$&quot;#,##0.00"/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7" formatCode="_)@"/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89996032593768116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6" formatCode="&quot;$&quot;#,##0.00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7" formatCode="_)@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</dxf>
    <dxf>
      <font>
        <strike val="0"/>
        <outline val="0"/>
        <shadow val="0"/>
        <u val="none"/>
        <vertAlign val="baseline"/>
        <sz val="9"/>
        <color auto="1"/>
        <name val="Microsoft YaHei UI"/>
        <scheme val="none"/>
      </font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7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7" formatCode="_)@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7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7" formatCode="_)@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7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7" formatCode="_)@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YaHei UI"/>
        <scheme val="none"/>
      </font>
      <numFmt numFmtId="164" formatCode="&quot;¥&quot;#,##0.00;&quot;¥&quot;\!\!\!\-#,##0.00"/>
      <fill>
        <patternFill patternType="solid">
          <fgColor indexed="64"/>
          <bgColor theme="2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4" formatCode="&quot;¥&quot;#,##0.00;&quot;¥&quot;\!\!\!\-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YaHei UI"/>
        <scheme val="none"/>
      </font>
      <numFmt numFmtId="167" formatCode="_)@"/>
      <fill>
        <patternFill patternType="solid">
          <fgColor indexed="64"/>
          <bgColor theme="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67" formatCode="_)@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ill>
        <patternFill>
          <bgColor theme="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 tint="0.24994659260841701"/>
      </font>
      <fill>
        <patternFill>
          <bgColor theme="4" tint="0.59996337778862885"/>
        </patternFill>
      </fill>
      <border diagonalUp="0" diagonalDown="0">
        <left/>
        <right/>
        <top style="medium">
          <color theme="3" tint="0.499984740745262"/>
        </top>
        <bottom/>
        <vertical/>
        <horizontal/>
      </border>
    </dxf>
    <dxf>
      <font>
        <b val="0"/>
        <i val="0"/>
        <color theme="3" tint="0.24994659260841701"/>
      </font>
      <fill>
        <patternFill patternType="solid">
          <fgColor indexed="64"/>
          <bgColor theme="4" tint="0.59996337778862885"/>
        </patternFill>
      </fill>
      <border diagonalUp="0" diagonalDown="0">
        <left/>
        <right/>
        <top/>
        <bottom style="dashed">
          <color theme="3" tint="0.499984740745262"/>
        </bottom>
        <vertical/>
        <horizontal/>
      </border>
    </dxf>
    <dxf>
      <font>
        <b val="0"/>
        <i val="0"/>
        <color theme="3" tint="0.24994659260841701"/>
      </font>
      <fill>
        <patternFill patternType="solid"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 val="0"/>
        <i val="0"/>
        <color theme="3" tint="0.24994659260841701"/>
      </font>
      <fill>
        <patternFill>
          <bgColor theme="5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theme="7"/>
          <bgColor theme="3" tint="0.89996032593768116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/>
        <bottom/>
        <vertical/>
        <horizontal/>
      </border>
    </dxf>
  </dxfs>
  <tableStyles count="4" defaultTableStyle="Personal Cash Flow Statement" defaultPivotStyle="PivotStyleLight15">
    <tableStyle name="Personal Cash Flow Statement" pivot="0" count="9">
      <tableStyleElement type="wholeTable" dxfId="128"/>
      <tableStyleElement type="headerRow" dxfId="127"/>
      <tableStyleElement type="totalRow" dxfId="126"/>
      <tableStyleElement type="firstColumn" dxfId="125"/>
      <tableStyleElement type="lastColumn" dxfId="124"/>
      <tableStyleElement type="firstHeaderCell" dxfId="123"/>
      <tableStyleElement type="lastHeaderCell" dxfId="122"/>
      <tableStyleElement type="firstTotalCell" dxfId="121"/>
      <tableStyleElement type="lastTotalCell" dxfId="120"/>
    </tableStyle>
    <tableStyle name="Personal Cash Flow Statement 2" pivot="0" count="5">
      <tableStyleElement type="wholeTable" dxfId="119"/>
      <tableStyleElement type="headerRow" dxfId="118"/>
      <tableStyleElement type="totalRow" dxfId="117"/>
      <tableStyleElement type="firstRowStripe" dxfId="116"/>
      <tableStyleElement type="secondRowStripe" dxfId="115"/>
    </tableStyle>
    <tableStyle name="Personal Cash Flow Statement 3" pivot="0" count="3">
      <tableStyleElement type="wholeTable" dxfId="114"/>
      <tableStyleElement type="headerRow" dxfId="113"/>
      <tableStyleElement type="totalRow" dxfId="112"/>
    </tableStyle>
    <tableStyle name="Personal Cash Flow Statement 4" pivot="0" count="5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32127186391772"/>
          <c:y val="0.50233432078300155"/>
          <c:w val="0.60887245964483439"/>
          <c:h val="0.46644615329516553"/>
        </c:manualLayout>
      </c:layout>
      <c:doughnutChart>
        <c:varyColors val="1"/>
        <c:ser>
          <c:idx val="0"/>
          <c:order val="0"/>
          <c:tx>
            <c:strRef>
              <c:f>年度现金流量!$G$29</c:f>
              <c:strCache>
                <c:ptCount val="1"/>
                <c:pt idx="0">
                  <c:v>年度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cat>
            <c:strRef>
              <c:f>年度现金流量!$F$30:$F$47</c:f>
              <c:strCache>
                <c:ptCount val="18"/>
                <c:pt idx="0">
                  <c:v> 个人所得税/社保/医保</c:v>
                </c:pt>
                <c:pt idx="1">
                  <c:v> 工伤保险</c:v>
                </c:pt>
                <c:pt idx="2">
                  <c:v> 汽车税/费用</c:v>
                </c:pt>
                <c:pt idx="3">
                  <c:v> 汽车费用</c:v>
                </c:pt>
                <c:pt idx="4">
                  <c:v> 按揭/租金</c:v>
                </c:pt>
                <c:pt idx="5">
                  <c:v> 保险</c:v>
                </c:pt>
                <c:pt idx="6">
                  <c:v> 电费</c:v>
                </c:pt>
                <c:pt idx="7">
                  <c:v> 燃气费</c:v>
                </c:pt>
                <c:pt idx="8">
                  <c:v> 水费</c:v>
                </c:pt>
                <c:pt idx="9">
                  <c:v> 垃圾费</c:v>
                </c:pt>
                <c:pt idx="10">
                  <c:v> 电话费</c:v>
                </c:pt>
                <c:pt idx="11">
                  <c:v> 网费</c:v>
                </c:pt>
                <c:pt idx="12">
                  <c:v> 人寿/伤残保险费</c:v>
                </c:pt>
                <c:pt idx="13">
                  <c:v> 饮食支出</c:v>
                </c:pt>
                <c:pt idx="14">
                  <c:v> 服装支出</c:v>
                </c:pt>
                <c:pt idx="15">
                  <c:v> 医疗/牙科</c:v>
                </c:pt>
                <c:pt idx="16">
                  <c:v> 其他 1</c:v>
                </c:pt>
                <c:pt idx="17">
                  <c:v> 其他 2</c:v>
                </c:pt>
              </c:strCache>
            </c:strRef>
          </c:cat>
          <c:val>
            <c:numRef>
              <c:f>年度现金流量!$G$30:$G$47</c:f>
              <c:numCache>
                <c:formatCode>"¥"#,##0.00;"¥"\!\!\!\-#,##0.00</c:formatCode>
                <c:ptCount val="18"/>
                <c:pt idx="0">
                  <c:v>150000</c:v>
                </c:pt>
                <c:pt idx="1">
                  <c:v>25000</c:v>
                </c:pt>
                <c:pt idx="2">
                  <c:v>2000</c:v>
                </c:pt>
                <c:pt idx="3">
                  <c:v>40000</c:v>
                </c:pt>
                <c:pt idx="4">
                  <c:v>150000</c:v>
                </c:pt>
                <c:pt idx="5">
                  <c:v>2500</c:v>
                </c:pt>
                <c:pt idx="6">
                  <c:v>12000</c:v>
                </c:pt>
                <c:pt idx="7">
                  <c:v>6000</c:v>
                </c:pt>
                <c:pt idx="8">
                  <c:v>6000</c:v>
                </c:pt>
                <c:pt idx="9">
                  <c:v>1500</c:v>
                </c:pt>
                <c:pt idx="10">
                  <c:v>6000</c:v>
                </c:pt>
                <c:pt idx="11">
                  <c:v>6000</c:v>
                </c:pt>
                <c:pt idx="12">
                  <c:v>15000</c:v>
                </c:pt>
                <c:pt idx="13">
                  <c:v>50000</c:v>
                </c:pt>
                <c:pt idx="14">
                  <c:v>12000</c:v>
                </c:pt>
                <c:pt idx="15">
                  <c:v>6000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170176247053086E-3"/>
          <c:y val="1.9493177387914229E-2"/>
          <c:w val="0.99136596475058936"/>
          <c:h val="0.488551211800279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01543039604126"/>
          <c:y val="0.49479951701943697"/>
          <c:w val="0.61673771670260957"/>
          <c:h val="0.47187047525492054"/>
        </c:manualLayout>
      </c:layout>
      <c:doughnutChart>
        <c:varyColors val="1"/>
        <c:ser>
          <c:idx val="0"/>
          <c:order val="0"/>
          <c:tx>
            <c:strRef>
              <c:f>年度现金流量!$C$29</c:f>
              <c:strCache>
                <c:ptCount val="1"/>
                <c:pt idx="0">
                  <c:v>年度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dPt>
          <c:cat>
            <c:strRef>
              <c:f>年度现金流量!$B$30:$B$35</c:f>
              <c:strCache>
                <c:ptCount val="6"/>
                <c:pt idx="0">
                  <c:v> 薪金</c:v>
                </c:pt>
                <c:pt idx="1">
                  <c:v> 佣金/奖金</c:v>
                </c:pt>
                <c:pt idx="2">
                  <c:v> 其他 1</c:v>
                </c:pt>
                <c:pt idx="3">
                  <c:v> 其他 2</c:v>
                </c:pt>
                <c:pt idx="4">
                  <c:v> 其他 3</c:v>
                </c:pt>
                <c:pt idx="5">
                  <c:v> 其他 4</c:v>
                </c:pt>
              </c:strCache>
            </c:strRef>
          </c:cat>
          <c:val>
            <c:numRef>
              <c:f>年度现金流量!$C$30:$C$35</c:f>
              <c:numCache>
                <c:formatCode>"¥"#,##0.00;"¥"\!\!\!\-#,##0.00</c:formatCode>
                <c:ptCount val="6"/>
                <c:pt idx="0">
                  <c:v>900000</c:v>
                </c:pt>
                <c:pt idx="1">
                  <c:v>50000</c:v>
                </c:pt>
                <c:pt idx="2">
                  <c:v>300000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1.6244314489928524E-2"/>
          <c:w val="0.99283882508317023"/>
          <c:h val="0.159601541035440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86937415265841"/>
          <c:y val="0.49840703391608221"/>
          <c:w val="0.61626161233662591"/>
          <c:h val="0.47210684921694734"/>
        </c:manualLayout>
      </c:layout>
      <c:doughnutChart>
        <c:varyColors val="1"/>
        <c:ser>
          <c:idx val="0"/>
          <c:order val="0"/>
          <c:tx>
            <c:strRef>
              <c:f>年度现金流量!$K$29</c:f>
              <c:strCache>
                <c:ptCount val="1"/>
                <c:pt idx="0">
                  <c:v>年度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cat>
            <c:strRef>
              <c:f>年度现金流量!$J$30:$J$40</c:f>
              <c:strCache>
                <c:ptCount val="11"/>
                <c:pt idx="0">
                  <c:v> 餐饮支出</c:v>
                </c:pt>
                <c:pt idx="1">
                  <c:v> 礼品支出</c:v>
                </c:pt>
                <c:pt idx="2">
                  <c:v> 旅游支出</c:v>
                </c:pt>
                <c:pt idx="3">
                  <c:v> 娱乐支出</c:v>
                </c:pt>
                <c:pt idx="4">
                  <c:v> 个人护理支出</c:v>
                </c:pt>
                <c:pt idx="5">
                  <c:v> 购物支出</c:v>
                </c:pt>
                <c:pt idx="6">
                  <c:v> 慈善支出</c:v>
                </c:pt>
                <c:pt idx="7">
                  <c:v> 俱乐部/会员费</c:v>
                </c:pt>
                <c:pt idx="8">
                  <c:v> 家庭改善支出</c:v>
                </c:pt>
                <c:pt idx="9">
                  <c:v> 其他 1</c:v>
                </c:pt>
                <c:pt idx="10">
                  <c:v> 其他 2</c:v>
                </c:pt>
              </c:strCache>
            </c:strRef>
          </c:cat>
          <c:val>
            <c:numRef>
              <c:f>年度现金流量!$K$30:$K$40</c:f>
              <c:numCache>
                <c:formatCode>"¥"#,##0.00;"¥"\!\!\!\-#,##0.00</c:formatCode>
                <c:ptCount val="11"/>
                <c:pt idx="0">
                  <c:v>12000</c:v>
                </c:pt>
                <c:pt idx="1">
                  <c:v>6000</c:v>
                </c:pt>
                <c:pt idx="2">
                  <c:v>22500</c:v>
                </c:pt>
                <c:pt idx="3">
                  <c:v>12000</c:v>
                </c:pt>
                <c:pt idx="4">
                  <c:v>3000</c:v>
                </c:pt>
                <c:pt idx="5">
                  <c:v>20000</c:v>
                </c:pt>
                <c:pt idx="6">
                  <c:v>6000</c:v>
                </c:pt>
                <c:pt idx="7">
                  <c:v>3000</c:v>
                </c:pt>
                <c:pt idx="8">
                  <c:v>48000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ln>
          <a:noFill/>
        </a:ln>
      </c:spPr>
    </c:plotArea>
    <c:legend>
      <c:legendPos val="t"/>
      <c:layout>
        <c:manualLayout>
          <c:xMode val="edge"/>
          <c:yMode val="edge"/>
          <c:x val="0"/>
          <c:y val="1.2995451591942819E-2"/>
          <c:w val="0.99838712908977978"/>
          <c:h val="0.3281269665853172"/>
        </c:manualLayout>
      </c:layout>
      <c:overlay val="0"/>
      <c:txPr>
        <a:bodyPr/>
        <a:lstStyle/>
        <a:p>
          <a:pPr>
            <a:defRPr lang="ja-JP">
              <a:latin typeface="Microsoft YaHei UI" panose="020B0503020204020204" pitchFamily="34" charset="-122"/>
              <a:ea typeface="Microsoft YaHei UI" panose="020B0503020204020204" pitchFamily="34" charset="-122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046913837757035"/>
          <c:y val="0.51883982338465007"/>
          <c:w val="0.60160857281374858"/>
          <c:h val="0.46029505814697141"/>
        </c:manualLayout>
      </c:layout>
      <c:doughnutChart>
        <c:varyColors val="1"/>
        <c:ser>
          <c:idx val="0"/>
          <c:order val="0"/>
          <c:tx>
            <c:strRef>
              <c:f>年度现金流量!$O$29</c:f>
              <c:strCache>
                <c:ptCount val="1"/>
                <c:pt idx="0">
                  <c:v>年度  </c:v>
                </c:pt>
              </c:strCache>
            </c:strRef>
          </c:tx>
          <c:spPr>
            <a:ln w="38100">
              <a:solidFill>
                <a:schemeClr val="accent5">
                  <a:lumMod val="20000"/>
                  <a:lumOff val="80000"/>
                </a:schemeClr>
              </a:solidFill>
            </a:ln>
          </c:spPr>
          <c:cat>
            <c:strRef>
              <c:f>年度现金流量!$N$30:$N$34</c:f>
              <c:strCache>
                <c:ptCount val="5"/>
                <c:pt idx="0">
                  <c:v> 现金储备</c:v>
                </c:pt>
                <c:pt idx="1">
                  <c:v> 退休金</c:v>
                </c:pt>
                <c:pt idx="2">
                  <c:v> 储蓄/投资</c:v>
                </c:pt>
                <c:pt idx="3">
                  <c:v> 其他 1</c:v>
                </c:pt>
                <c:pt idx="4">
                  <c:v> 其他 2</c:v>
                </c:pt>
              </c:strCache>
            </c:strRef>
          </c:cat>
          <c:val>
            <c:numRef>
              <c:f>年度现金流量!$O$30:$O$34</c:f>
              <c:numCache>
                <c:formatCode>"¥"#,##0.00;"¥"\!\!\!\-#,##0.00</c:formatCode>
                <c:ptCount val="5"/>
                <c:pt idx="0">
                  <c:v>50000</c:v>
                </c:pt>
                <c:pt idx="1">
                  <c:v>120000</c:v>
                </c:pt>
                <c:pt idx="2">
                  <c:v>60000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8"/>
      </c:doughnutChart>
      <c:spPr>
        <a:ln>
          <a:noFill/>
        </a:ln>
      </c:spPr>
    </c:plotArea>
    <c:legend>
      <c:legendPos val="t"/>
      <c:layout>
        <c:manualLayout>
          <c:xMode val="edge"/>
          <c:yMode val="edge"/>
          <c:x val="7.4102679840179191E-3"/>
          <c:y val="9.7465886939571145E-3"/>
          <c:w val="0.98834344751492054"/>
          <c:h val="0.17137342481312642"/>
        </c:manualLayout>
      </c:layout>
      <c:overlay val="0"/>
      <c:txPr>
        <a:bodyPr/>
        <a:lstStyle/>
        <a:p>
          <a:pPr>
            <a:defRPr lang="ja-JP">
              <a:latin typeface="Microsoft YaHei UI" panose="020B0503020204020204" pitchFamily="34" charset="-122"/>
              <a:ea typeface="Microsoft YaHei UI" panose="020B0503020204020204" pitchFamily="34" charset="-122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tx2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27599;&#26376;&#29616;&#37329;&#27969;&#37327;!A1"/><Relationship Id="rId2" Type="http://schemas.openxmlformats.org/officeDocument/2006/relationships/hyperlink" Target="#&#24180;&#24230;&#29616;&#37329;&#27969;&#37327;!A1"/><Relationship Id="rId1" Type="http://schemas.openxmlformats.org/officeDocument/2006/relationships/hyperlink" Target="#&#25351;&#21335;!A1"/><Relationship Id="rId4" Type="http://schemas.openxmlformats.org/officeDocument/2006/relationships/hyperlink" Target="#&#27599;&#22825;&#29616;&#37329;&#27969;&#37327;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27599;&#22825;&#29616;&#37329;&#27969;&#37327;!A1"/><Relationship Id="rId3" Type="http://schemas.openxmlformats.org/officeDocument/2006/relationships/chart" Target="../charts/chart3.xml"/><Relationship Id="rId7" Type="http://schemas.openxmlformats.org/officeDocument/2006/relationships/hyperlink" Target="#&#27599;&#26376;&#29616;&#37329;&#27969;&#37327;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&#24180;&#24230;&#29616;&#37329;&#27969;&#37327;!A1"/><Relationship Id="rId5" Type="http://schemas.openxmlformats.org/officeDocument/2006/relationships/hyperlink" Target="#&#25351;&#21335;!A1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27599;&#26376;&#29616;&#37329;&#27969;&#37327;!A1"/><Relationship Id="rId2" Type="http://schemas.openxmlformats.org/officeDocument/2006/relationships/hyperlink" Target="#&#24180;&#24230;&#29616;&#37329;&#27969;&#37327;!A1"/><Relationship Id="rId1" Type="http://schemas.openxmlformats.org/officeDocument/2006/relationships/hyperlink" Target="#&#25351;&#21335;!A1"/><Relationship Id="rId4" Type="http://schemas.openxmlformats.org/officeDocument/2006/relationships/hyperlink" Target="#&#27599;&#22825;&#29616;&#37329;&#27969;&#3732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&#27599;&#26376;&#29616;&#37329;&#27969;&#37327;!A1"/><Relationship Id="rId2" Type="http://schemas.openxmlformats.org/officeDocument/2006/relationships/hyperlink" Target="#&#24180;&#24230;&#29616;&#37329;&#27969;&#37327;!A1"/><Relationship Id="rId1" Type="http://schemas.openxmlformats.org/officeDocument/2006/relationships/hyperlink" Target="#&#25351;&#21335;!A1"/><Relationship Id="rId4" Type="http://schemas.openxmlformats.org/officeDocument/2006/relationships/hyperlink" Target="#&#27599;&#22825;&#29616;&#37329;&#27969;&#3732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28574</xdr:colOff>
      <xdr:row>0</xdr:row>
      <xdr:rowOff>0</xdr:rowOff>
    </xdr:from>
    <xdr:to>
      <xdr:col>5</xdr:col>
      <xdr:colOff>895349</xdr:colOff>
      <xdr:row>1</xdr:row>
      <xdr:rowOff>0</xdr:rowOff>
    </xdr:to>
    <xdr:sp macro="" textlink="">
      <xdr:nvSpPr>
        <xdr:cNvPr id="3" name="矩形 2">
          <a:hlinkClick xmlns:r="http://schemas.openxmlformats.org/officeDocument/2006/relationships" r:id="rId1" tooltip="单击查看现金流量指南"/>
        </xdr:cNvPr>
        <xdr:cNvSpPr/>
      </xdr:nvSpPr>
      <xdr:spPr>
        <a:xfrm>
          <a:off x="5705474" y="0"/>
          <a:ext cx="866775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指南</a:t>
          </a:r>
          <a:endParaRPr lang="en-US" sz="1200" b="1">
            <a:solidFill>
              <a:schemeClr val="accent1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5</xdr:col>
      <xdr:colOff>952500</xdr:colOff>
      <xdr:row>0</xdr:row>
      <xdr:rowOff>0</xdr:rowOff>
    </xdr:from>
    <xdr:to>
      <xdr:col>5</xdr:col>
      <xdr:colOff>2057400</xdr:colOff>
      <xdr:row>1</xdr:row>
      <xdr:rowOff>0</xdr:rowOff>
    </xdr:to>
    <xdr:sp macro="" textlink="">
      <xdr:nvSpPr>
        <xdr:cNvPr id="9" name="矩形 8">
          <a:hlinkClick xmlns:r="http://schemas.openxmlformats.org/officeDocument/2006/relationships" r:id="rId2" tooltip="单击查看年度现金流量"/>
        </xdr:cNvPr>
        <xdr:cNvSpPr/>
      </xdr:nvSpPr>
      <xdr:spPr>
        <a:xfrm>
          <a:off x="6629400" y="0"/>
          <a:ext cx="11049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年度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5</xdr:col>
      <xdr:colOff>2114551</xdr:colOff>
      <xdr:row>0</xdr:row>
      <xdr:rowOff>0</xdr:rowOff>
    </xdr:from>
    <xdr:to>
      <xdr:col>7</xdr:col>
      <xdr:colOff>390525</xdr:colOff>
      <xdr:row>1</xdr:row>
      <xdr:rowOff>0</xdr:rowOff>
    </xdr:to>
    <xdr:sp macro="" textlink="">
      <xdr:nvSpPr>
        <xdr:cNvPr id="10" name="矩形 9">
          <a:hlinkClick xmlns:r="http://schemas.openxmlformats.org/officeDocument/2006/relationships" r:id="rId3" tooltip="单击查看每月现金流量"/>
        </xdr:cNvPr>
        <xdr:cNvSpPr/>
      </xdr:nvSpPr>
      <xdr:spPr>
        <a:xfrm>
          <a:off x="7791451" y="0"/>
          <a:ext cx="1152524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每月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447675</xdr:colOff>
      <xdr:row>0</xdr:row>
      <xdr:rowOff>0</xdr:rowOff>
    </xdr:from>
    <xdr:to>
      <xdr:col>9</xdr:col>
      <xdr:colOff>28575</xdr:colOff>
      <xdr:row>1</xdr:row>
      <xdr:rowOff>0</xdr:rowOff>
    </xdr:to>
    <xdr:sp macro="" textlink="">
      <xdr:nvSpPr>
        <xdr:cNvPr id="11" name="矩形 10">
          <a:hlinkClick xmlns:r="http://schemas.openxmlformats.org/officeDocument/2006/relationships" r:id="rId4" tooltip="单击查看每天现金流量"/>
        </xdr:cNvPr>
        <xdr:cNvSpPr/>
      </xdr:nvSpPr>
      <xdr:spPr>
        <a:xfrm>
          <a:off x="9001125" y="0"/>
          <a:ext cx="8001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每天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5</xdr:col>
      <xdr:colOff>927847</xdr:colOff>
      <xdr:row>0</xdr:row>
      <xdr:rowOff>1</xdr:rowOff>
    </xdr:from>
    <xdr:to>
      <xdr:col>5</xdr:col>
      <xdr:colOff>929528</xdr:colOff>
      <xdr:row>0</xdr:row>
      <xdr:rowOff>484633</xdr:rowOff>
    </xdr:to>
    <xdr:cxnSp macro="">
      <xdr:nvCxnSpPr>
        <xdr:cNvPr id="5" name="直线连接线 4"/>
        <xdr:cNvCxnSpPr/>
      </xdr:nvCxnSpPr>
      <xdr:spPr>
        <a:xfrm flipH="1" flipV="1">
          <a:off x="6604747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2087096</xdr:colOff>
      <xdr:row>0</xdr:row>
      <xdr:rowOff>0</xdr:rowOff>
    </xdr:from>
    <xdr:to>
      <xdr:col>5</xdr:col>
      <xdr:colOff>2088777</xdr:colOff>
      <xdr:row>0</xdr:row>
      <xdr:rowOff>484632</xdr:rowOff>
    </xdr:to>
    <xdr:cxnSp macro="">
      <xdr:nvCxnSpPr>
        <xdr:cNvPr id="14" name="直线连接线 13"/>
        <xdr:cNvCxnSpPr/>
      </xdr:nvCxnSpPr>
      <xdr:spPr>
        <a:xfrm flipH="1" flipV="1">
          <a:off x="7763996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419100</xdr:colOff>
      <xdr:row>0</xdr:row>
      <xdr:rowOff>0</xdr:rowOff>
    </xdr:from>
    <xdr:to>
      <xdr:col>7</xdr:col>
      <xdr:colOff>420781</xdr:colOff>
      <xdr:row>0</xdr:row>
      <xdr:rowOff>484632</xdr:rowOff>
    </xdr:to>
    <xdr:cxnSp macro="">
      <xdr:nvCxnSpPr>
        <xdr:cNvPr id="15" name="直线连接线 14"/>
        <xdr:cNvCxnSpPr/>
      </xdr:nvCxnSpPr>
      <xdr:spPr>
        <a:xfrm flipH="1" flipV="1">
          <a:off x="8972550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54909</xdr:colOff>
      <xdr:row>0</xdr:row>
      <xdr:rowOff>0</xdr:rowOff>
    </xdr:from>
    <xdr:to>
      <xdr:col>9</xdr:col>
      <xdr:colOff>56590</xdr:colOff>
      <xdr:row>0</xdr:row>
      <xdr:rowOff>484632</xdr:rowOff>
    </xdr:to>
    <xdr:cxnSp macro="">
      <xdr:nvCxnSpPr>
        <xdr:cNvPr id="16" name="直线连接线 15"/>
        <xdr:cNvCxnSpPr/>
      </xdr:nvCxnSpPr>
      <xdr:spPr>
        <a:xfrm flipH="1" flipV="1">
          <a:off x="9827559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4483</xdr:colOff>
      <xdr:row>0</xdr:row>
      <xdr:rowOff>0</xdr:rowOff>
    </xdr:from>
    <xdr:to>
      <xdr:col>5</xdr:col>
      <xdr:colOff>6164</xdr:colOff>
      <xdr:row>0</xdr:row>
      <xdr:rowOff>484632</xdr:rowOff>
    </xdr:to>
    <xdr:cxnSp macro="">
      <xdr:nvCxnSpPr>
        <xdr:cNvPr id="17" name="直线连接线 16"/>
        <xdr:cNvCxnSpPr/>
      </xdr:nvCxnSpPr>
      <xdr:spPr>
        <a:xfrm flipH="1" flipV="1">
          <a:off x="5681383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56589</xdr:colOff>
      <xdr:row>0</xdr:row>
      <xdr:rowOff>1</xdr:rowOff>
    </xdr:from>
    <xdr:to>
      <xdr:col>9</xdr:col>
      <xdr:colOff>58270</xdr:colOff>
      <xdr:row>0</xdr:row>
      <xdr:rowOff>484633</xdr:rowOff>
    </xdr:to>
    <xdr:cxnSp macro="">
      <xdr:nvCxnSpPr>
        <xdr:cNvPr id="14" name="直线连接线 13"/>
        <xdr:cNvCxnSpPr/>
      </xdr:nvCxnSpPr>
      <xdr:spPr>
        <a:xfrm flipH="1" flipV="1">
          <a:off x="6600264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1215838</xdr:colOff>
      <xdr:row>0</xdr:row>
      <xdr:rowOff>0</xdr:rowOff>
    </xdr:from>
    <xdr:to>
      <xdr:col>9</xdr:col>
      <xdr:colOff>1217519</xdr:colOff>
      <xdr:row>0</xdr:row>
      <xdr:rowOff>484632</xdr:rowOff>
    </xdr:to>
    <xdr:cxnSp macro="">
      <xdr:nvCxnSpPr>
        <xdr:cNvPr id="15" name="直线连接线 14"/>
        <xdr:cNvCxnSpPr/>
      </xdr:nvCxnSpPr>
      <xdr:spPr>
        <a:xfrm flipH="1" flipV="1">
          <a:off x="7759513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147917</xdr:colOff>
      <xdr:row>0</xdr:row>
      <xdr:rowOff>0</xdr:rowOff>
    </xdr:from>
    <xdr:to>
      <xdr:col>11</xdr:col>
      <xdr:colOff>149598</xdr:colOff>
      <xdr:row>0</xdr:row>
      <xdr:rowOff>484632</xdr:rowOff>
    </xdr:to>
    <xdr:cxnSp macro="">
      <xdr:nvCxnSpPr>
        <xdr:cNvPr id="16" name="直线连接线 15"/>
        <xdr:cNvCxnSpPr/>
      </xdr:nvCxnSpPr>
      <xdr:spPr>
        <a:xfrm flipH="1" flipV="1">
          <a:off x="8968067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98051</xdr:colOff>
      <xdr:row>0</xdr:row>
      <xdr:rowOff>0</xdr:rowOff>
    </xdr:from>
    <xdr:to>
      <xdr:col>13</xdr:col>
      <xdr:colOff>99732</xdr:colOff>
      <xdr:row>0</xdr:row>
      <xdr:rowOff>484632</xdr:rowOff>
    </xdr:to>
    <xdr:cxnSp macro="">
      <xdr:nvCxnSpPr>
        <xdr:cNvPr id="17" name="直线连接线 16"/>
        <xdr:cNvCxnSpPr/>
      </xdr:nvCxnSpPr>
      <xdr:spPr>
        <a:xfrm flipH="1" flipV="1">
          <a:off x="9823076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38100</xdr:colOff>
      <xdr:row>0</xdr:row>
      <xdr:rowOff>0</xdr:rowOff>
    </xdr:from>
    <xdr:to>
      <xdr:col>7</xdr:col>
      <xdr:colOff>39781</xdr:colOff>
      <xdr:row>0</xdr:row>
      <xdr:rowOff>484632</xdr:rowOff>
    </xdr:to>
    <xdr:cxnSp macro="">
      <xdr:nvCxnSpPr>
        <xdr:cNvPr id="18" name="直线连接线 17"/>
        <xdr:cNvCxnSpPr/>
      </xdr:nvCxnSpPr>
      <xdr:spPr>
        <a:xfrm flipH="1" flipV="1">
          <a:off x="5676900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161924</xdr:colOff>
      <xdr:row>1</xdr:row>
      <xdr:rowOff>1</xdr:rowOff>
    </xdr:from>
    <xdr:to>
      <xdr:col>6</xdr:col>
      <xdr:colOff>447675</xdr:colOff>
      <xdr:row>2</xdr:row>
      <xdr:rowOff>57151</xdr:rowOff>
    </xdr:to>
    <xdr:sp macro="" textlink="">
      <xdr:nvSpPr>
        <xdr:cNvPr id="19" name="同侧圆角矩形 18"/>
        <xdr:cNvSpPr/>
      </xdr:nvSpPr>
      <xdr:spPr>
        <a:xfrm>
          <a:off x="161924" y="495301"/>
          <a:ext cx="4591051" cy="457200"/>
        </a:xfrm>
        <a:prstGeom prst="round2SameRect">
          <a:avLst>
            <a:gd name="adj1" fmla="val 0"/>
            <a:gd name="adj2" fmla="val 25491"/>
          </a:avLst>
        </a:prstGeom>
        <a:solidFill>
          <a:schemeClr val="bg1"/>
        </a:solidFill>
        <a:ln w="9525">
          <a:solidFill>
            <a:schemeClr val="tx2">
              <a:lumMod val="25000"/>
              <a:lumOff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600" b="1">
              <a:solidFill>
                <a:schemeClr val="tx2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到现在为止的总现金流量：</a:t>
          </a:r>
          <a:endParaRPr lang="en-US" sz="1600" b="1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3</xdr:col>
      <xdr:colOff>228600</xdr:colOff>
      <xdr:row>1</xdr:row>
      <xdr:rowOff>19050</xdr:rowOff>
    </xdr:from>
    <xdr:to>
      <xdr:col>6</xdr:col>
      <xdr:colOff>390524</xdr:colOff>
      <xdr:row>2</xdr:row>
      <xdr:rowOff>9525</xdr:rowOff>
    </xdr:to>
    <xdr:sp macro="" textlink="$B$2">
      <xdr:nvSpPr>
        <xdr:cNvPr id="20" name="同侧圆角矩形 19"/>
        <xdr:cNvSpPr/>
      </xdr:nvSpPr>
      <xdr:spPr>
        <a:xfrm>
          <a:off x="2381250" y="514350"/>
          <a:ext cx="2314574" cy="390525"/>
        </a:xfrm>
        <a:prstGeom prst="round2SameRect">
          <a:avLst>
            <a:gd name="adj1" fmla="val 0"/>
            <a:gd name="adj2" fmla="val 0"/>
          </a:avLst>
        </a:prstGeom>
        <a:solidFill>
          <a:schemeClr val="bg1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009FB18-8BF5-4C1B-866F-98260C311650}" type="TxLink">
            <a:rPr lang="en-US" sz="2000" b="1" i="0" u="none" strike="noStrike">
              <a:solidFill>
                <a:srgbClr val="83B6A9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Calibri"/>
            </a:rPr>
            <a:pPr algn="r"/>
            <a:t>¥397,500.00 </a:t>
          </a:fld>
          <a:endParaRPr lang="en-US" sz="1400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4</xdr:col>
      <xdr:colOff>180974</xdr:colOff>
      <xdr:row>6</xdr:row>
      <xdr:rowOff>0</xdr:rowOff>
    </xdr:from>
    <xdr:to>
      <xdr:col>7</xdr:col>
      <xdr:colOff>718184</xdr:colOff>
      <xdr:row>24</xdr:row>
      <xdr:rowOff>137160</xdr:rowOff>
    </xdr:to>
    <xdr:graphicFrame macro="">
      <xdr:nvGraphicFramePr>
        <xdr:cNvPr id="21" name="图表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3</xdr:col>
      <xdr:colOff>714375</xdr:colOff>
      <xdr:row>24</xdr:row>
      <xdr:rowOff>137160</xdr:rowOff>
    </xdr:to>
    <xdr:graphicFrame macro="">
      <xdr:nvGraphicFramePr>
        <xdr:cNvPr id="22" name="图表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11</xdr:col>
      <xdr:colOff>718185</xdr:colOff>
      <xdr:row>24</xdr:row>
      <xdr:rowOff>137160</xdr:rowOff>
    </xdr:to>
    <xdr:graphicFrame macro="">
      <xdr:nvGraphicFramePr>
        <xdr:cNvPr id="23" name="图表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</xdr:colOff>
      <xdr:row>6</xdr:row>
      <xdr:rowOff>0</xdr:rowOff>
    </xdr:from>
    <xdr:to>
      <xdr:col>15</xdr:col>
      <xdr:colOff>714376</xdr:colOff>
      <xdr:row>24</xdr:row>
      <xdr:rowOff>137160</xdr:rowOff>
    </xdr:to>
    <xdr:graphicFrame macro="">
      <xdr:nvGraphicFramePr>
        <xdr:cNvPr id="24" name="图表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66675</xdr:colOff>
      <xdr:row>0</xdr:row>
      <xdr:rowOff>0</xdr:rowOff>
    </xdr:from>
    <xdr:to>
      <xdr:col>9</xdr:col>
      <xdr:colOff>28575</xdr:colOff>
      <xdr:row>1</xdr:row>
      <xdr:rowOff>0</xdr:rowOff>
    </xdr:to>
    <xdr:sp macro="" textlink="">
      <xdr:nvSpPr>
        <xdr:cNvPr id="25" name="矩形 2">
          <a:hlinkClick xmlns:r="http://schemas.openxmlformats.org/officeDocument/2006/relationships" r:id="rId5" tooltip="单击查看现金流量指南"/>
        </xdr:cNvPr>
        <xdr:cNvSpPr/>
      </xdr:nvSpPr>
      <xdr:spPr>
        <a:xfrm>
          <a:off x="5705475" y="0"/>
          <a:ext cx="866775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指南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9</xdr:col>
      <xdr:colOff>85726</xdr:colOff>
      <xdr:row>0</xdr:row>
      <xdr:rowOff>0</xdr:rowOff>
    </xdr:from>
    <xdr:to>
      <xdr:col>9</xdr:col>
      <xdr:colOff>1190626</xdr:colOff>
      <xdr:row>1</xdr:row>
      <xdr:rowOff>0</xdr:rowOff>
    </xdr:to>
    <xdr:sp macro="" textlink="">
      <xdr:nvSpPr>
        <xdr:cNvPr id="26" name="矩形 8">
          <a:hlinkClick xmlns:r="http://schemas.openxmlformats.org/officeDocument/2006/relationships" r:id="rId6" tooltip="单击查看年度现金流量"/>
        </xdr:cNvPr>
        <xdr:cNvSpPr/>
      </xdr:nvSpPr>
      <xdr:spPr>
        <a:xfrm>
          <a:off x="6629401" y="0"/>
          <a:ext cx="11049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年度</a:t>
          </a:r>
          <a:endParaRPr lang="en-US" sz="1200" b="1">
            <a:solidFill>
              <a:schemeClr val="accent1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9</xdr:col>
      <xdr:colOff>1247777</xdr:colOff>
      <xdr:row>0</xdr:row>
      <xdr:rowOff>0</xdr:rowOff>
    </xdr:from>
    <xdr:to>
      <xdr:col>11</xdr:col>
      <xdr:colOff>123826</xdr:colOff>
      <xdr:row>1</xdr:row>
      <xdr:rowOff>0</xdr:rowOff>
    </xdr:to>
    <xdr:sp macro="" textlink="">
      <xdr:nvSpPr>
        <xdr:cNvPr id="27" name="矩形 9">
          <a:hlinkClick xmlns:r="http://schemas.openxmlformats.org/officeDocument/2006/relationships" r:id="rId7" tooltip="单击查看每月现金流量"/>
        </xdr:cNvPr>
        <xdr:cNvSpPr/>
      </xdr:nvSpPr>
      <xdr:spPr>
        <a:xfrm>
          <a:off x="7791452" y="0"/>
          <a:ext cx="1152524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每月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11</xdr:col>
      <xdr:colOff>180976</xdr:colOff>
      <xdr:row>0</xdr:row>
      <xdr:rowOff>0</xdr:rowOff>
    </xdr:from>
    <xdr:to>
      <xdr:col>13</xdr:col>
      <xdr:colOff>76201</xdr:colOff>
      <xdr:row>1</xdr:row>
      <xdr:rowOff>0</xdr:rowOff>
    </xdr:to>
    <xdr:sp macro="" textlink="">
      <xdr:nvSpPr>
        <xdr:cNvPr id="28" name="矩形 10">
          <a:hlinkClick xmlns:r="http://schemas.openxmlformats.org/officeDocument/2006/relationships" r:id="rId8" tooltip="单击查看每天现金流量"/>
        </xdr:cNvPr>
        <xdr:cNvSpPr/>
      </xdr:nvSpPr>
      <xdr:spPr>
        <a:xfrm>
          <a:off x="9001126" y="0"/>
          <a:ext cx="8001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每天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1</xdr:rowOff>
    </xdr:from>
    <xdr:to>
      <xdr:col>6</xdr:col>
      <xdr:colOff>247650</xdr:colOff>
      <xdr:row>2</xdr:row>
      <xdr:rowOff>57151</xdr:rowOff>
    </xdr:to>
    <xdr:sp macro="" textlink="">
      <xdr:nvSpPr>
        <xdr:cNvPr id="6" name="同侧圆角矩形 5"/>
        <xdr:cNvSpPr/>
      </xdr:nvSpPr>
      <xdr:spPr>
        <a:xfrm>
          <a:off x="161924" y="495301"/>
          <a:ext cx="4972051" cy="457200"/>
        </a:xfrm>
        <a:prstGeom prst="round2SameRect">
          <a:avLst>
            <a:gd name="adj1" fmla="val 0"/>
            <a:gd name="adj2" fmla="val 25491"/>
          </a:avLst>
        </a:prstGeom>
        <a:solidFill>
          <a:schemeClr val="bg1"/>
        </a:solidFill>
        <a:ln w="9525">
          <a:solidFill>
            <a:schemeClr val="tx2">
              <a:lumMod val="25000"/>
              <a:lumOff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600" b="1">
              <a:solidFill>
                <a:schemeClr val="tx2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月度现金流量总计：</a:t>
          </a:r>
          <a:endParaRPr lang="en-US" sz="1600" b="1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3</xdr:col>
      <xdr:colOff>28575</xdr:colOff>
      <xdr:row>1</xdr:row>
      <xdr:rowOff>19050</xdr:rowOff>
    </xdr:from>
    <xdr:to>
      <xdr:col>6</xdr:col>
      <xdr:colOff>190499</xdr:colOff>
      <xdr:row>2</xdr:row>
      <xdr:rowOff>9525</xdr:rowOff>
    </xdr:to>
    <xdr:sp macro="" textlink="$B$2">
      <xdr:nvSpPr>
        <xdr:cNvPr id="8" name="同侧圆角矩形 7"/>
        <xdr:cNvSpPr/>
      </xdr:nvSpPr>
      <xdr:spPr>
        <a:xfrm>
          <a:off x="2943225" y="514350"/>
          <a:ext cx="2133599" cy="390525"/>
        </a:xfrm>
        <a:prstGeom prst="round2SameRect">
          <a:avLst>
            <a:gd name="adj1" fmla="val 0"/>
            <a:gd name="adj2" fmla="val 0"/>
          </a:avLst>
        </a:prstGeom>
        <a:solidFill>
          <a:schemeClr val="bg1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009FB18-8BF5-4C1B-866F-98260C311650}" type="TxLink">
            <a:rPr lang="en-US" sz="2000" b="1" i="0" u="none" strike="noStrike">
              <a:solidFill>
                <a:srgbClr val="83B6A9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Calibri"/>
            </a:rPr>
            <a:pPr algn="r"/>
            <a:t>¥183,800.00 </a:t>
          </a:fld>
          <a:endParaRPr lang="en-US" sz="1400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561414</xdr:colOff>
      <xdr:row>0</xdr:row>
      <xdr:rowOff>1</xdr:rowOff>
    </xdr:from>
    <xdr:to>
      <xdr:col>7</xdr:col>
      <xdr:colOff>563095</xdr:colOff>
      <xdr:row>0</xdr:row>
      <xdr:rowOff>484633</xdr:rowOff>
    </xdr:to>
    <xdr:cxnSp macro="">
      <xdr:nvCxnSpPr>
        <xdr:cNvPr id="16" name="直线连接线 15"/>
        <xdr:cNvCxnSpPr/>
      </xdr:nvCxnSpPr>
      <xdr:spPr>
        <a:xfrm flipH="1" flipV="1">
          <a:off x="6600264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158563</xdr:colOff>
      <xdr:row>0</xdr:row>
      <xdr:rowOff>0</xdr:rowOff>
    </xdr:from>
    <xdr:to>
      <xdr:col>9</xdr:col>
      <xdr:colOff>160244</xdr:colOff>
      <xdr:row>0</xdr:row>
      <xdr:rowOff>484632</xdr:rowOff>
    </xdr:to>
    <xdr:cxnSp macro="">
      <xdr:nvCxnSpPr>
        <xdr:cNvPr id="17" name="直线连接线 16"/>
        <xdr:cNvCxnSpPr/>
      </xdr:nvCxnSpPr>
      <xdr:spPr>
        <a:xfrm flipH="1" flipV="1">
          <a:off x="7759513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586067</xdr:colOff>
      <xdr:row>0</xdr:row>
      <xdr:rowOff>0</xdr:rowOff>
    </xdr:from>
    <xdr:to>
      <xdr:col>10</xdr:col>
      <xdr:colOff>587748</xdr:colOff>
      <xdr:row>0</xdr:row>
      <xdr:rowOff>484632</xdr:rowOff>
    </xdr:to>
    <xdr:cxnSp macro="">
      <xdr:nvCxnSpPr>
        <xdr:cNvPr id="18" name="直线连接线 17"/>
        <xdr:cNvCxnSpPr/>
      </xdr:nvCxnSpPr>
      <xdr:spPr>
        <a:xfrm flipH="1" flipV="1">
          <a:off x="8968067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660026</xdr:colOff>
      <xdr:row>0</xdr:row>
      <xdr:rowOff>0</xdr:rowOff>
    </xdr:from>
    <xdr:to>
      <xdr:col>11</xdr:col>
      <xdr:colOff>661707</xdr:colOff>
      <xdr:row>0</xdr:row>
      <xdr:rowOff>484632</xdr:rowOff>
    </xdr:to>
    <xdr:cxnSp macro="">
      <xdr:nvCxnSpPr>
        <xdr:cNvPr id="19" name="直线连接线 18"/>
        <xdr:cNvCxnSpPr/>
      </xdr:nvCxnSpPr>
      <xdr:spPr>
        <a:xfrm flipH="1" flipV="1">
          <a:off x="9823076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419100</xdr:colOff>
      <xdr:row>0</xdr:row>
      <xdr:rowOff>0</xdr:rowOff>
    </xdr:from>
    <xdr:to>
      <xdr:col>6</xdr:col>
      <xdr:colOff>420781</xdr:colOff>
      <xdr:row>0</xdr:row>
      <xdr:rowOff>484632</xdr:rowOff>
    </xdr:to>
    <xdr:cxnSp macro="">
      <xdr:nvCxnSpPr>
        <xdr:cNvPr id="20" name="直线连接线 19"/>
        <xdr:cNvCxnSpPr/>
      </xdr:nvCxnSpPr>
      <xdr:spPr>
        <a:xfrm flipH="1" flipV="1">
          <a:off x="5676900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438150</xdr:colOff>
      <xdr:row>0</xdr:row>
      <xdr:rowOff>0</xdr:rowOff>
    </xdr:from>
    <xdr:to>
      <xdr:col>7</xdr:col>
      <xdr:colOff>523875</xdr:colOff>
      <xdr:row>1</xdr:row>
      <xdr:rowOff>0</xdr:rowOff>
    </xdr:to>
    <xdr:sp macro="" textlink="">
      <xdr:nvSpPr>
        <xdr:cNvPr id="21" name="矩形 2">
          <a:hlinkClick xmlns:r="http://schemas.openxmlformats.org/officeDocument/2006/relationships" r:id="rId1" tooltip="单击查看现金流量指南"/>
        </xdr:cNvPr>
        <xdr:cNvSpPr/>
      </xdr:nvSpPr>
      <xdr:spPr>
        <a:xfrm>
          <a:off x="5695950" y="0"/>
          <a:ext cx="866775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指南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581026</xdr:colOff>
      <xdr:row>0</xdr:row>
      <xdr:rowOff>0</xdr:rowOff>
    </xdr:from>
    <xdr:to>
      <xdr:col>9</xdr:col>
      <xdr:colOff>123826</xdr:colOff>
      <xdr:row>1</xdr:row>
      <xdr:rowOff>0</xdr:rowOff>
    </xdr:to>
    <xdr:sp macro="" textlink="">
      <xdr:nvSpPr>
        <xdr:cNvPr id="22" name="矩形 8">
          <a:hlinkClick xmlns:r="http://schemas.openxmlformats.org/officeDocument/2006/relationships" r:id="rId2" tooltip="单击查看年度现金流量"/>
        </xdr:cNvPr>
        <xdr:cNvSpPr/>
      </xdr:nvSpPr>
      <xdr:spPr>
        <a:xfrm>
          <a:off x="6619876" y="0"/>
          <a:ext cx="11049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年度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9</xdr:col>
      <xdr:colOff>180977</xdr:colOff>
      <xdr:row>0</xdr:row>
      <xdr:rowOff>0</xdr:rowOff>
    </xdr:from>
    <xdr:to>
      <xdr:col>10</xdr:col>
      <xdr:colOff>552451</xdr:colOff>
      <xdr:row>1</xdr:row>
      <xdr:rowOff>0</xdr:rowOff>
    </xdr:to>
    <xdr:sp macro="" textlink="">
      <xdr:nvSpPr>
        <xdr:cNvPr id="23" name="矩形 9">
          <a:hlinkClick xmlns:r="http://schemas.openxmlformats.org/officeDocument/2006/relationships" r:id="rId3" tooltip="单击查看每月现金流量"/>
        </xdr:cNvPr>
        <xdr:cNvSpPr/>
      </xdr:nvSpPr>
      <xdr:spPr>
        <a:xfrm>
          <a:off x="7781927" y="0"/>
          <a:ext cx="1152524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每月</a:t>
          </a:r>
          <a:endParaRPr lang="en-US" sz="1200" b="1">
            <a:solidFill>
              <a:schemeClr val="accent1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10</xdr:col>
      <xdr:colOff>609601</xdr:colOff>
      <xdr:row>0</xdr:row>
      <xdr:rowOff>0</xdr:rowOff>
    </xdr:from>
    <xdr:to>
      <xdr:col>11</xdr:col>
      <xdr:colOff>628651</xdr:colOff>
      <xdr:row>1</xdr:row>
      <xdr:rowOff>0</xdr:rowOff>
    </xdr:to>
    <xdr:sp macro="" textlink="">
      <xdr:nvSpPr>
        <xdr:cNvPr id="24" name="矩形 10">
          <a:hlinkClick xmlns:r="http://schemas.openxmlformats.org/officeDocument/2006/relationships" r:id="rId4" tooltip="单击查看每天现金流量"/>
        </xdr:cNvPr>
        <xdr:cNvSpPr/>
      </xdr:nvSpPr>
      <xdr:spPr>
        <a:xfrm>
          <a:off x="8991601" y="0"/>
          <a:ext cx="8001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每天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161924</xdr:colOff>
      <xdr:row>1</xdr:row>
      <xdr:rowOff>1</xdr:rowOff>
    </xdr:from>
    <xdr:to>
      <xdr:col>5</xdr:col>
      <xdr:colOff>123825</xdr:colOff>
      <xdr:row>2</xdr:row>
      <xdr:rowOff>57151</xdr:rowOff>
    </xdr:to>
    <xdr:sp macro="" textlink="">
      <xdr:nvSpPr>
        <xdr:cNvPr id="6" name="同侧圆角矩形 5"/>
        <xdr:cNvSpPr/>
      </xdr:nvSpPr>
      <xdr:spPr>
        <a:xfrm>
          <a:off x="161924" y="495301"/>
          <a:ext cx="4981576" cy="457200"/>
        </a:xfrm>
        <a:prstGeom prst="round2SameRect">
          <a:avLst>
            <a:gd name="adj1" fmla="val 0"/>
            <a:gd name="adj2" fmla="val 25491"/>
          </a:avLst>
        </a:prstGeom>
        <a:solidFill>
          <a:schemeClr val="bg1"/>
        </a:solidFill>
        <a:ln w="9525">
          <a:solidFill>
            <a:schemeClr val="tx2">
              <a:lumMod val="25000"/>
              <a:lumOff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600" b="1">
              <a:solidFill>
                <a:schemeClr val="tx2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可用总现金</a:t>
          </a:r>
          <a:r>
            <a:rPr lang="en-US" altLang="zh-CN" sz="1600" b="1">
              <a:solidFill>
                <a:schemeClr val="tx2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:</a:t>
          </a:r>
          <a:endParaRPr lang="en-US" sz="1600" b="1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19050</xdr:rowOff>
    </xdr:from>
    <xdr:to>
      <xdr:col>5</xdr:col>
      <xdr:colOff>57150</xdr:colOff>
      <xdr:row>2</xdr:row>
      <xdr:rowOff>9525</xdr:rowOff>
    </xdr:to>
    <xdr:sp macro="" textlink="$B$2">
      <xdr:nvSpPr>
        <xdr:cNvPr id="7" name="同侧圆角矩形 6"/>
        <xdr:cNvSpPr/>
      </xdr:nvSpPr>
      <xdr:spPr>
        <a:xfrm>
          <a:off x="3048000" y="514350"/>
          <a:ext cx="2028825" cy="390525"/>
        </a:xfrm>
        <a:prstGeom prst="round2SameRect">
          <a:avLst>
            <a:gd name="adj1" fmla="val 0"/>
            <a:gd name="adj2" fmla="val 0"/>
          </a:avLst>
        </a:prstGeom>
        <a:solidFill>
          <a:schemeClr val="bg1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009FB18-8BF5-4C1B-866F-98260C311650}" type="TxLink">
            <a:rPr lang="en-US" sz="2000" b="1" i="0" u="none" strike="noStrike">
              <a:solidFill>
                <a:srgbClr val="83B6A9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Calibri"/>
            </a:rPr>
            <a:pPr algn="r"/>
            <a:t>¥5,778.40 </a:t>
          </a:fld>
          <a:endParaRPr lang="en-US" sz="1400">
            <a:solidFill>
              <a:schemeClr val="tx2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104214</xdr:colOff>
      <xdr:row>0</xdr:row>
      <xdr:rowOff>1</xdr:rowOff>
    </xdr:from>
    <xdr:to>
      <xdr:col>7</xdr:col>
      <xdr:colOff>105895</xdr:colOff>
      <xdr:row>0</xdr:row>
      <xdr:rowOff>484633</xdr:rowOff>
    </xdr:to>
    <xdr:cxnSp macro="">
      <xdr:nvCxnSpPr>
        <xdr:cNvPr id="12" name="直线连接线 11"/>
        <xdr:cNvCxnSpPr/>
      </xdr:nvCxnSpPr>
      <xdr:spPr>
        <a:xfrm flipH="1" flipV="1">
          <a:off x="6600264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1263463</xdr:colOff>
      <xdr:row>0</xdr:row>
      <xdr:rowOff>0</xdr:rowOff>
    </xdr:from>
    <xdr:to>
      <xdr:col>7</xdr:col>
      <xdr:colOff>1265144</xdr:colOff>
      <xdr:row>0</xdr:row>
      <xdr:rowOff>484632</xdr:rowOff>
    </xdr:to>
    <xdr:cxnSp macro="">
      <xdr:nvCxnSpPr>
        <xdr:cNvPr id="13" name="直线连接线 12"/>
        <xdr:cNvCxnSpPr/>
      </xdr:nvCxnSpPr>
      <xdr:spPr>
        <a:xfrm flipH="1" flipV="1">
          <a:off x="7759513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690842</xdr:colOff>
      <xdr:row>0</xdr:row>
      <xdr:rowOff>0</xdr:rowOff>
    </xdr:from>
    <xdr:to>
      <xdr:col>8</xdr:col>
      <xdr:colOff>692523</xdr:colOff>
      <xdr:row>0</xdr:row>
      <xdr:rowOff>484632</xdr:rowOff>
    </xdr:to>
    <xdr:cxnSp macro="">
      <xdr:nvCxnSpPr>
        <xdr:cNvPr id="14" name="直线连接线 13"/>
        <xdr:cNvCxnSpPr/>
      </xdr:nvCxnSpPr>
      <xdr:spPr>
        <a:xfrm flipH="1" flipV="1">
          <a:off x="8968067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1545851</xdr:colOff>
      <xdr:row>0</xdr:row>
      <xdr:rowOff>0</xdr:rowOff>
    </xdr:from>
    <xdr:to>
      <xdr:col>8</xdr:col>
      <xdr:colOff>1547532</xdr:colOff>
      <xdr:row>0</xdr:row>
      <xdr:rowOff>484632</xdr:rowOff>
    </xdr:to>
    <xdr:cxnSp macro="">
      <xdr:nvCxnSpPr>
        <xdr:cNvPr id="15" name="直线连接线 14"/>
        <xdr:cNvCxnSpPr/>
      </xdr:nvCxnSpPr>
      <xdr:spPr>
        <a:xfrm flipH="1" flipV="1">
          <a:off x="9823076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657225</xdr:colOff>
      <xdr:row>0</xdr:row>
      <xdr:rowOff>0</xdr:rowOff>
    </xdr:from>
    <xdr:to>
      <xdr:col>5</xdr:col>
      <xdr:colOff>658906</xdr:colOff>
      <xdr:row>0</xdr:row>
      <xdr:rowOff>484632</xdr:rowOff>
    </xdr:to>
    <xdr:cxnSp macro="">
      <xdr:nvCxnSpPr>
        <xdr:cNvPr id="16" name="直线连接线 15"/>
        <xdr:cNvCxnSpPr/>
      </xdr:nvCxnSpPr>
      <xdr:spPr>
        <a:xfrm flipH="1" flipV="1">
          <a:off x="5676900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685800</xdr:colOff>
      <xdr:row>0</xdr:row>
      <xdr:rowOff>0</xdr:rowOff>
    </xdr:from>
    <xdr:to>
      <xdr:col>7</xdr:col>
      <xdr:colOff>76200</xdr:colOff>
      <xdr:row>1</xdr:row>
      <xdr:rowOff>0</xdr:rowOff>
    </xdr:to>
    <xdr:sp macro="" textlink="">
      <xdr:nvSpPr>
        <xdr:cNvPr id="17" name="矩形 2">
          <a:hlinkClick xmlns:r="http://schemas.openxmlformats.org/officeDocument/2006/relationships" r:id="rId1" tooltip="单击查看现金流量指南"/>
        </xdr:cNvPr>
        <xdr:cNvSpPr/>
      </xdr:nvSpPr>
      <xdr:spPr>
        <a:xfrm>
          <a:off x="5705475" y="0"/>
          <a:ext cx="866775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指南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133351</xdr:colOff>
      <xdr:row>0</xdr:row>
      <xdr:rowOff>0</xdr:rowOff>
    </xdr:from>
    <xdr:to>
      <xdr:col>7</xdr:col>
      <xdr:colOff>1238251</xdr:colOff>
      <xdr:row>1</xdr:row>
      <xdr:rowOff>0</xdr:rowOff>
    </xdr:to>
    <xdr:sp macro="" textlink="">
      <xdr:nvSpPr>
        <xdr:cNvPr id="18" name="矩形 8">
          <a:hlinkClick xmlns:r="http://schemas.openxmlformats.org/officeDocument/2006/relationships" r:id="rId2" tooltip="单击查看年度现金流量"/>
        </xdr:cNvPr>
        <xdr:cNvSpPr/>
      </xdr:nvSpPr>
      <xdr:spPr>
        <a:xfrm>
          <a:off x="6629401" y="0"/>
          <a:ext cx="11049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年度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7</xdr:col>
      <xdr:colOff>1295402</xdr:colOff>
      <xdr:row>0</xdr:row>
      <xdr:rowOff>0</xdr:rowOff>
    </xdr:from>
    <xdr:to>
      <xdr:col>8</xdr:col>
      <xdr:colOff>666751</xdr:colOff>
      <xdr:row>1</xdr:row>
      <xdr:rowOff>0</xdr:rowOff>
    </xdr:to>
    <xdr:sp macro="" textlink="">
      <xdr:nvSpPr>
        <xdr:cNvPr id="19" name="矩形 9">
          <a:hlinkClick xmlns:r="http://schemas.openxmlformats.org/officeDocument/2006/relationships" r:id="rId3" tooltip="单击查看每月现金流量"/>
        </xdr:cNvPr>
        <xdr:cNvSpPr/>
      </xdr:nvSpPr>
      <xdr:spPr>
        <a:xfrm>
          <a:off x="7791452" y="0"/>
          <a:ext cx="1152524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tx2">
                  <a:lumMod val="25000"/>
                  <a:lumOff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每月</a:t>
          </a:r>
          <a:endParaRPr lang="en-US" sz="1200" b="1">
            <a:solidFill>
              <a:schemeClr val="tx2">
                <a:lumMod val="25000"/>
                <a:lumOff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8</xdr:col>
      <xdr:colOff>723901</xdr:colOff>
      <xdr:row>0</xdr:row>
      <xdr:rowOff>0</xdr:rowOff>
    </xdr:from>
    <xdr:to>
      <xdr:col>8</xdr:col>
      <xdr:colOff>1524001</xdr:colOff>
      <xdr:row>1</xdr:row>
      <xdr:rowOff>0</xdr:rowOff>
    </xdr:to>
    <xdr:sp macro="" textlink="">
      <xdr:nvSpPr>
        <xdr:cNvPr id="20" name="矩形 10">
          <a:hlinkClick xmlns:r="http://schemas.openxmlformats.org/officeDocument/2006/relationships" r:id="rId4" tooltip="单击查看每天现金流量"/>
        </xdr:cNvPr>
        <xdr:cNvSpPr/>
      </xdr:nvSpPr>
      <xdr:spPr>
        <a:xfrm>
          <a:off x="9001126" y="0"/>
          <a:ext cx="800100" cy="495300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每天</a:t>
          </a:r>
          <a:endParaRPr lang="en-US" sz="1200" b="1">
            <a:solidFill>
              <a:schemeClr val="accent1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blIncome" displayName="tblIncome" ref="B29:D36" totalsRowCount="1" headerRowDxfId="106" dataDxfId="105" totalsRowDxfId="104">
  <tableColumns count="3">
    <tableColumn id="1" name=" 收入" totalsRowLabel="  总计" dataDxfId="103" totalsRowDxfId="102"/>
    <tableColumn id="2" name="年度  " totalsRowFunction="sum" dataDxfId="101" totalsRowDxfId="100"/>
    <tableColumn id="3" name="每月 " totalsRowFunction="sum" dataDxfId="99" totalsRowDxfId="98">
      <calculatedColumnFormula>tblIncome[[#This Row],[年度  ]]/12</calculatedColumnFormula>
    </tableColumn>
  </tableColumns>
  <tableStyleInfo name="Personal Cash Flow Statement" showFirstColumn="1" showLastColumn="1" showRowStripes="0" showColumnStripes="0"/>
</table>
</file>

<file path=xl/tables/table2.xml><?xml version="1.0" encoding="utf-8"?>
<table xmlns="http://schemas.openxmlformats.org/spreadsheetml/2006/main" id="2" name="tblExpenses" displayName="tblExpenses" ref="F29:H48" totalsRowCount="1" headerRowDxfId="97" dataDxfId="96" totalsRowDxfId="95">
  <tableColumns count="3">
    <tableColumn id="1" name=" 支出" totalsRowLabel="  总计" dataDxfId="94" totalsRowDxfId="93"/>
    <tableColumn id="2" name="年度  " totalsRowFunction="sum" dataDxfId="92" totalsRowDxfId="91"/>
    <tableColumn id="3" name="每月 " totalsRowFunction="sum" dataDxfId="90" totalsRowDxfId="89">
      <calculatedColumnFormula>tblExpenses[[#This Row],[年度  ]]/12</calculatedColumnFormula>
    </tableColumn>
  </tableColumns>
  <tableStyleInfo name="Personal Cash Flow Statement" showFirstColumn="1" showLastColumn="1" showRowStripes="0" showColumnStripes="0"/>
</table>
</file>

<file path=xl/tables/table3.xml><?xml version="1.0" encoding="utf-8"?>
<table xmlns="http://schemas.openxmlformats.org/spreadsheetml/2006/main" id="3" name="tblDiscretionary" displayName="tblDiscretionary" ref="J29:L41" totalsRowCount="1" headerRowDxfId="88" dataDxfId="87" totalsRowDxfId="86">
  <tableColumns count="3">
    <tableColumn id="1" name=" 可支配费用" totalsRowLabel="  总计" dataDxfId="85" totalsRowDxfId="84"/>
    <tableColumn id="2" name="年度  " totalsRowFunction="sum" dataDxfId="83" totalsRowDxfId="82"/>
    <tableColumn id="3" name="每月 " totalsRowFunction="sum" dataDxfId="81" totalsRowDxfId="80">
      <calculatedColumnFormula>tblDiscretionary[[#This Row],[年度  ]]/12</calculatedColumnFormula>
    </tableColumn>
  </tableColumns>
  <tableStyleInfo name="Personal Cash Flow Statement" showFirstColumn="1" showLastColumn="1" showRowStripes="0" showColumnStripes="0"/>
</table>
</file>

<file path=xl/tables/table4.xml><?xml version="1.0" encoding="utf-8"?>
<table xmlns="http://schemas.openxmlformats.org/spreadsheetml/2006/main" id="4" name="tblSavings" displayName="tblSavings" ref="N29:P35" totalsRowCount="1" headerRowDxfId="79" dataDxfId="78" totalsRowDxfId="77">
  <tableColumns count="3">
    <tableColumn id="1" name=" 储蓄" totalsRowLabel="  总计" dataDxfId="76" totalsRowDxfId="75"/>
    <tableColumn id="2" name="年度  " totalsRowFunction="sum" dataDxfId="74" totalsRowDxfId="73"/>
    <tableColumn id="3" name="每月 " totalsRowFunction="sum" dataDxfId="72" totalsRowDxfId="71">
      <calculatedColumnFormula>tblSavings[[#This Row],[年度  ]]/12</calculatedColumnFormula>
    </tableColumn>
  </tableColumns>
  <tableStyleInfo name="Personal Cash Flow Statement" showFirstColumn="1" showLastColumn="1" showRowStripes="0" showColumnStripes="0"/>
</table>
</file>

<file path=xl/tables/table5.xml><?xml version="1.0" encoding="utf-8"?>
<table xmlns="http://schemas.openxmlformats.org/spreadsheetml/2006/main" id="11" name="tblMontly" displayName="tblMontly" ref="B5:P49" totalsRowCount="1" headerRowDxfId="68" dataDxfId="67" totalsRowDxfId="66">
  <autoFilter ref="B5:P48"/>
  <tableColumns count="15">
    <tableColumn id="1" name=" 类型" totalsRowLabel=" 总计" dataDxfId="65" totalsRowDxfId="64"/>
    <tableColumn id="2" name=" 描述" dataDxfId="63" totalsRowDxfId="62"/>
    <tableColumn id="3" name=" 一月" totalsRowFunction="custom" dataDxfId="61" totalsRowDxfId="60">
      <totalsRowFormula>SUMIF(tblMontly[[ 类型]],"收入",tblMontly[[ 一月]])-SUMIF(tblMontly[[ 类型]],"&lt;&gt;收入",tblMontly[[ 一月]])</totalsRowFormula>
    </tableColumn>
    <tableColumn id="4" name=" 二月" totalsRowFunction="custom" dataDxfId="59" totalsRowDxfId="58">
      <totalsRowFormula>SUMIF(tblMontly[[ 类型]],"收入",tblMontly[[ 二月]])-SUMIF(tblMontly[[ 类型]],"&lt;&gt;收入",tblMontly[[ 二月]])</totalsRowFormula>
    </tableColumn>
    <tableColumn id="5" name=" 三月" totalsRowFunction="custom" dataDxfId="57" totalsRowDxfId="56">
      <totalsRowFormula>SUMIF(tblMontly[[ 类型]],"收入",tblMontly[[ 三月]])-SUMIF(tblMontly[[ 类型]],"&lt;&gt;收入",tblMontly[[ 三月]])</totalsRowFormula>
    </tableColumn>
    <tableColumn id="6" name=" 四月" totalsRowFunction="custom" dataDxfId="55" totalsRowDxfId="54">
      <totalsRowFormula>SUMIF(tblMontly[[ 类型]],"收入",tblMontly[[ 四月]])-SUMIF(tblMontly[[ 类型]],"&lt;&gt;收入",tblMontly[[ 四月]])</totalsRowFormula>
    </tableColumn>
    <tableColumn id="7" name=" 五月" totalsRowFunction="custom" dataDxfId="53" totalsRowDxfId="52">
      <totalsRowFormula>SUMIF(tblMontly[[ 类型]],"收入",tblMontly[[ 五月]])-SUMIF(tblMontly[[ 类型]],"&lt;&gt;收入",tblMontly[[ 五月]])</totalsRowFormula>
    </tableColumn>
    <tableColumn id="8" name=" 六月" totalsRowFunction="custom" dataDxfId="51" totalsRowDxfId="50">
      <totalsRowFormula>SUMIF(tblMontly[[ 类型]],"收入",tblMontly[[ 六月]])-SUMIF(tblMontly[[ 类型]],"&lt;&gt;收入",tblMontly[[ 六月]])</totalsRowFormula>
    </tableColumn>
    <tableColumn id="9" name=" 七月" totalsRowFunction="custom" dataDxfId="49" totalsRowDxfId="48">
      <totalsRowFormula>SUMIF(tblMontly[[ 类型]],"收入",tblMontly[[ 七月]])-SUMIF(tblMontly[[ 类型]],"&lt;&gt;收入",tblMontly[[ 七月]])</totalsRowFormula>
    </tableColumn>
    <tableColumn id="10" name=" 八月" totalsRowFunction="custom" dataDxfId="47" totalsRowDxfId="46">
      <totalsRowFormula>SUMIF(tblMontly[[ 类型]],"收入",tblMontly[[ 八月]])-SUMIF(tblMontly[[ 类型]],"&lt;&gt;收入",tblMontly[[ 八月]])</totalsRowFormula>
    </tableColumn>
    <tableColumn id="11" name=" 九月" totalsRowFunction="custom" dataDxfId="45" totalsRowDxfId="44">
      <totalsRowFormula>SUMIF(tblMontly[[ 类型]],"收入",tblMontly[[ 九月]])-SUMIF(tblMontly[[ 类型]],"&lt;&gt;收入",tblMontly[[ 九月]])</totalsRowFormula>
    </tableColumn>
    <tableColumn id="12" name=" 十月" totalsRowFunction="custom" dataDxfId="43" totalsRowDxfId="42">
      <totalsRowFormula>SUMIF(tblMontly[[ 类型]],"收入",tblMontly[[ 十月]])-SUMIF(tblMontly[[ 类型]],"&lt;&gt;收入",tblMontly[[ 十月]])</totalsRowFormula>
    </tableColumn>
    <tableColumn id="13" name=" 十一月" totalsRowFunction="custom" dataDxfId="41" totalsRowDxfId="40">
      <totalsRowFormula>SUMIF(tblMontly[[ 类型]],"收入",tblMontly[[ 十一月]])-SUMIF(tblMontly[[ 类型]],"&lt;&gt;收入",tblMontly[[ 十一月]])</totalsRowFormula>
    </tableColumn>
    <tableColumn id="14" name=" 十二月" totalsRowFunction="custom" dataDxfId="39" totalsRowDxfId="38">
      <totalsRowFormula>SUMIF(tblMontly[[ 类型]],"收入",tblMontly[[ 十二月]])-SUMIF(tblMontly[[ 类型]],"&lt;&gt;收入",tblMontly[[ 十二月]])</totalsRowFormula>
    </tableColumn>
    <tableColumn id="15" name=" 总计" totalsRowFunction="custom" dataDxfId="37" totalsRowDxfId="36">
      <calculatedColumnFormula>SUM(tblMontly[[#This Row],[ 一月]:[ 十二月]])</calculatedColumnFormula>
      <totalsRowFormula>SUMIF(tblMontly[[ 类型]],"收入",tblMontly[[ 总计]])-SUMIF(tblMontly[[ 类型]],"&lt;&gt;收入",tblMontly[[ 总计]])</totalsRowFormula>
    </tableColumn>
  </tableColumns>
  <tableStyleInfo name="Personal Cash Flow Statement 2" showFirstColumn="0" showLastColumn="0" showRowStripes="1" showColumnStripes="0"/>
</table>
</file>

<file path=xl/tables/table6.xml><?xml version="1.0" encoding="utf-8"?>
<table xmlns="http://schemas.openxmlformats.org/spreadsheetml/2006/main" id="12" name="tblDaily" displayName="tblDaily" ref="B12:F56" totalsRowCount="1" headerRowDxfId="25" dataDxfId="24" totalsRowDxfId="23">
  <autoFilter ref="B12:F55"/>
  <tableColumns count="5">
    <tableColumn id="1" name=" 类型" totalsRowLabel=" 总计 " dataDxfId="22" totalsRowDxfId="21"/>
    <tableColumn id="2" name="描述" dataDxfId="20" totalsRowDxfId="19"/>
    <tableColumn id="3" name="每天" totalsRowFunction="custom" dataDxfId="18" totalsRowDxfId="17">
      <totalsRowFormula>SUMIF(tblDaily[[ 类型]],"收入",tblDaily[每天])-SUMIF(tblDaily[[ 类型]],"&lt;&gt;收入",tblDaily[每天])</totalsRowFormula>
    </tableColumn>
    <tableColumn id="14" name="每月" totalsRowFunction="custom" dataDxfId="16" totalsRowDxfId="15">
      <calculatedColumnFormula>tblDaily[[#This Row],[年度]]/12</calculatedColumnFormula>
      <totalsRowFormula>SUMIF(tblDaily[[ 类型]],"收入",tblDaily[每月])-SUMIF(tblDaily[[ 类型]],"&lt;&gt;收入",tblDaily[每月])</totalsRowFormula>
    </tableColumn>
    <tableColumn id="15" name="年度" totalsRowFunction="custom" dataDxfId="14" totalsRowDxfId="13">
      <calculatedColumnFormula>tblDaily[[#This Row],[每天]]*365</calculatedColumnFormula>
      <totalsRowFormula>SUMIF(tblDaily[[ 类型]],"收入",tblDaily[年度])-SUMIF(tblDaily[[ 类型]],"&lt;&gt;收入",tblDaily[年度])</totalsRowFormula>
    </tableColumn>
  </tableColumns>
  <tableStyleInfo name="Personal Cash Flow Statement 4" showFirstColumn="0" showLastColumn="0" showRowStripes="1" showColumnStripes="0"/>
</table>
</file>

<file path=xl/tables/table7.xml><?xml version="1.0" encoding="utf-8"?>
<table xmlns="http://schemas.openxmlformats.org/spreadsheetml/2006/main" id="13" name="tblDailyTotals" displayName="tblDailyTotals" ref="B5:F9" headerRowDxfId="12" dataDxfId="11" totalsRowDxfId="10">
  <tableColumns count="5">
    <tableColumn id="5" name=" 总计" totalsRowLabel="DAILY REMAINING CASH FLOW" dataDxfId="9" totalsRowDxfId="8"/>
    <tableColumn id="1" name=" " dataDxfId="7" totalsRowDxfId="6"/>
    <tableColumn id="2" name="每天" totalsRowFunction="sum" dataDxfId="5" totalsRowDxfId="4">
      <calculatedColumnFormula>SUMIF(tblDaily[[ 类型]],tblDailyTotals[[#This Row],[ 总计]],tblDaily[每天])</calculatedColumnFormula>
    </tableColumn>
    <tableColumn id="3" name="每月" totalsRowFunction="sum" dataDxfId="3" totalsRowDxfId="2">
      <calculatedColumnFormula>SUMIF(tblDaily[[ 类型]],tblDailyTotals[[#This Row],[ 总计]],tblDaily[每月])</calculatedColumnFormula>
    </tableColumn>
    <tableColumn id="4" name="年度 " totalsRowFunction="sum" dataDxfId="1" totalsRowDxfId="0">
      <calculatedColumnFormula>SUMIF(tblDaily[[ 类型]],tblDailyTotals[[#This Row],[ 总计]],tblDaily[年度])</calculatedColumnFormula>
    </tableColumn>
  </tableColumns>
  <tableStyleInfo name="Personal Cash Flow Statement 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Cash Flow Statement">
      <a:dk1>
        <a:srgbClr val="000000"/>
      </a:dk1>
      <a:lt1>
        <a:srgbClr val="FFFFFF"/>
      </a:lt1>
      <a:dk2>
        <a:srgbClr val="1A1A17"/>
      </a:dk2>
      <a:lt2>
        <a:srgbClr val="FAF7F0"/>
      </a:lt2>
      <a:accent1>
        <a:srgbClr val="E58555"/>
      </a:accent1>
      <a:accent2>
        <a:srgbClr val="62A293"/>
      </a:accent2>
      <a:accent3>
        <a:srgbClr val="F7AF4F"/>
      </a:accent3>
      <a:accent4>
        <a:srgbClr val="A7BD6F"/>
      </a:accent4>
      <a:accent5>
        <a:srgbClr val="D5BD85"/>
      </a:accent5>
      <a:accent6>
        <a:srgbClr val="996B7B"/>
      </a:accent6>
      <a:hlink>
        <a:srgbClr val="A7BD6F"/>
      </a:hlink>
      <a:folHlink>
        <a:srgbClr val="996B7B"/>
      </a:folHlink>
    </a:clrScheme>
    <a:fontScheme name="Personal Cash Flow Stateme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249977111117893"/>
    <pageSetUpPr autoPageBreaks="0"/>
  </sheetPr>
  <dimension ref="B1:F11"/>
  <sheetViews>
    <sheetView showGridLines="0" tabSelected="1" zoomScaleNormal="100" workbookViewId="0"/>
  </sheetViews>
  <sheetFormatPr defaultRowHeight="12"/>
  <cols>
    <col min="1" max="1" width="10" style="3" customWidth="1"/>
    <col min="2" max="2" width="34" style="3" customWidth="1"/>
    <col min="3" max="3" width="3.5703125" style="3" customWidth="1"/>
    <col min="4" max="4" width="34" style="3" customWidth="1"/>
    <col min="5" max="5" width="3.5703125" style="3" customWidth="1"/>
    <col min="6" max="6" width="34" style="3" customWidth="1"/>
    <col min="7" max="10" width="9.140625" style="3"/>
    <col min="11" max="11" width="1.7109375" style="3" customWidth="1"/>
    <col min="12" max="16384" width="9.140625" style="3"/>
  </cols>
  <sheetData>
    <row r="1" spans="2:6" s="1" customFormat="1" ht="39" customHeight="1"/>
    <row r="4" spans="2:6" ht="46.5">
      <c r="B4" s="2" t="s">
        <v>1</v>
      </c>
    </row>
    <row r="5" spans="2:6" ht="15" customHeight="1">
      <c r="B5" s="48" t="s">
        <v>130</v>
      </c>
      <c r="C5" s="48"/>
      <c r="D5" s="48"/>
      <c r="E5" s="48"/>
      <c r="F5" s="48"/>
    </row>
    <row r="6" spans="2:6" ht="27" customHeight="1">
      <c r="B6" s="48"/>
      <c r="C6" s="48"/>
      <c r="D6" s="48"/>
      <c r="E6" s="48"/>
      <c r="F6" s="48"/>
    </row>
    <row r="7" spans="2:6" ht="12.75" thickBot="1">
      <c r="B7" s="4"/>
      <c r="C7" s="4"/>
      <c r="D7" s="4"/>
      <c r="E7" s="4"/>
      <c r="F7" s="4"/>
    </row>
    <row r="9" spans="2:6" ht="33.75" customHeight="1">
      <c r="B9" s="5" t="s">
        <v>2</v>
      </c>
      <c r="D9" s="6" t="s">
        <v>4</v>
      </c>
      <c r="F9" s="7" t="s">
        <v>6</v>
      </c>
    </row>
    <row r="10" spans="2:6" ht="9.75" customHeight="1">
      <c r="B10" s="8"/>
      <c r="D10" s="9"/>
      <c r="F10" s="10"/>
    </row>
    <row r="11" spans="2:6" ht="120.75" customHeight="1">
      <c r="B11" s="11" t="s">
        <v>3</v>
      </c>
      <c r="D11" s="12" t="s">
        <v>5</v>
      </c>
      <c r="F11" s="13" t="s">
        <v>7</v>
      </c>
    </row>
  </sheetData>
  <mergeCells count="1">
    <mergeCell ref="B5:F6"/>
  </mergeCells>
  <phoneticPr fontId="8" type="noConversion"/>
  <pageMargins left="0.4" right="0.4" top="0.4" bottom="0.4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  <pageSetUpPr autoPageBreaks="0" fitToPage="1"/>
  </sheetPr>
  <dimension ref="B1:P48"/>
  <sheetViews>
    <sheetView showGridLines="0" zoomScaleNormal="100" workbookViewId="0"/>
  </sheetViews>
  <sheetFormatPr defaultRowHeight="16.5" customHeight="1"/>
  <cols>
    <col min="1" max="1" width="2.7109375" style="3" customWidth="1"/>
    <col min="2" max="2" width="21.5703125" style="3" customWidth="1"/>
    <col min="3" max="3" width="12.5703125" style="3" customWidth="1"/>
    <col min="4" max="4" width="10.85546875" style="3" customWidth="1"/>
    <col min="5" max="5" width="2.7109375" style="3" customWidth="1"/>
    <col min="6" max="6" width="21.5703125" style="3" customWidth="1"/>
    <col min="7" max="7" width="12.5703125" style="3" customWidth="1"/>
    <col min="8" max="8" width="10.85546875" style="3" customWidth="1"/>
    <col min="9" max="9" width="2.7109375" style="3" customWidth="1"/>
    <col min="10" max="10" width="21.5703125" style="3" customWidth="1"/>
    <col min="11" max="11" width="12.5703125" style="3" customWidth="1"/>
    <col min="12" max="12" width="10.85546875" style="3" customWidth="1"/>
    <col min="13" max="13" width="2.7109375" style="3" customWidth="1"/>
    <col min="14" max="14" width="21.5703125" style="3" customWidth="1"/>
    <col min="15" max="15" width="12.5703125" style="3" customWidth="1"/>
    <col min="16" max="16" width="10.85546875" style="3" customWidth="1"/>
    <col min="17" max="17" width="2.7109375" style="3" customWidth="1"/>
    <col min="18" max="16384" width="9.140625" style="3"/>
  </cols>
  <sheetData>
    <row r="1" spans="2:16" s="1" customFormat="1" ht="39" customHeight="1">
      <c r="B1" s="14" t="s">
        <v>1</v>
      </c>
    </row>
    <row r="2" spans="2:16" ht="31.5" customHeight="1">
      <c r="B2" s="53">
        <f>AnnualCashFlowToDate</f>
        <v>397500</v>
      </c>
      <c r="C2" s="53"/>
      <c r="D2" s="53"/>
      <c r="E2" s="53"/>
      <c r="F2" s="53"/>
      <c r="H2" s="50" t="s">
        <v>81</v>
      </c>
      <c r="I2" s="51"/>
      <c r="J2" s="51"/>
      <c r="K2" s="51"/>
      <c r="L2" s="51"/>
      <c r="M2" s="51"/>
      <c r="N2" s="51"/>
      <c r="O2" s="51"/>
      <c r="P2" s="51"/>
    </row>
    <row r="5" spans="2:16" ht="25.5" customHeight="1">
      <c r="B5" s="20" t="s">
        <v>8</v>
      </c>
      <c r="C5" s="21"/>
      <c r="D5" s="21"/>
      <c r="F5" s="20" t="s">
        <v>9</v>
      </c>
      <c r="G5" s="21"/>
      <c r="H5" s="21"/>
      <c r="J5" s="20" t="s">
        <v>10</v>
      </c>
      <c r="K5" s="21"/>
      <c r="L5" s="21"/>
      <c r="N5" s="20" t="s">
        <v>11</v>
      </c>
      <c r="O5" s="21"/>
      <c r="P5" s="21"/>
    </row>
    <row r="6" spans="2:16" ht="16.5" customHeight="1">
      <c r="B6" s="22" t="s">
        <v>12</v>
      </c>
      <c r="C6" s="49">
        <f>tblIncome[[#Totals],[年度  ]]</f>
        <v>1250000</v>
      </c>
      <c r="D6" s="49"/>
      <c r="F6" s="22" t="s">
        <v>12</v>
      </c>
      <c r="G6" s="49">
        <f>tblExpenses[[#Totals],[年度  ]]</f>
        <v>490000</v>
      </c>
      <c r="H6" s="49"/>
      <c r="J6" s="22" t="s">
        <v>12</v>
      </c>
      <c r="K6" s="49">
        <f>tblDiscretionary[[#Totals],[年度  ]]</f>
        <v>132500</v>
      </c>
      <c r="L6" s="49"/>
      <c r="N6" s="23" t="s">
        <v>12</v>
      </c>
      <c r="O6" s="49">
        <f>tblSavings[[#Totals],[年度  ]]</f>
        <v>230000</v>
      </c>
      <c r="P6" s="49"/>
    </row>
    <row r="7" spans="2:16" ht="16.5" customHeight="1">
      <c r="B7" s="24"/>
      <c r="C7" s="24"/>
      <c r="D7" s="24"/>
      <c r="F7" s="24"/>
      <c r="G7" s="24"/>
      <c r="H7" s="24"/>
      <c r="J7" s="24"/>
      <c r="K7" s="24"/>
      <c r="L7" s="24"/>
      <c r="N7" s="24"/>
      <c r="O7" s="24"/>
      <c r="P7" s="24"/>
    </row>
    <row r="8" spans="2:16" ht="16.5" customHeight="1">
      <c r="B8" s="24"/>
      <c r="C8" s="24"/>
      <c r="D8" s="24"/>
      <c r="F8" s="24"/>
      <c r="G8" s="24"/>
      <c r="H8" s="24"/>
      <c r="J8" s="24"/>
      <c r="K8" s="24"/>
      <c r="L8" s="24"/>
      <c r="N8" s="24"/>
      <c r="O8" s="24"/>
      <c r="P8" s="24"/>
    </row>
    <row r="9" spans="2:16" ht="16.5" customHeight="1">
      <c r="B9" s="24"/>
      <c r="C9" s="24"/>
      <c r="D9" s="24"/>
      <c r="F9" s="24"/>
      <c r="G9" s="24"/>
      <c r="H9" s="24"/>
      <c r="J9" s="24"/>
      <c r="K9" s="24"/>
      <c r="L9" s="24"/>
      <c r="N9" s="24"/>
      <c r="O9" s="24"/>
      <c r="P9" s="24"/>
    </row>
    <row r="10" spans="2:16" ht="16.5" customHeight="1">
      <c r="B10" s="24"/>
      <c r="C10" s="24"/>
      <c r="D10" s="24"/>
      <c r="F10" s="24"/>
      <c r="G10" s="24"/>
      <c r="H10" s="24"/>
      <c r="J10" s="24"/>
      <c r="K10" s="24"/>
      <c r="L10" s="24"/>
      <c r="N10" s="24"/>
      <c r="O10" s="24"/>
      <c r="P10" s="24"/>
    </row>
    <row r="11" spans="2:16" ht="16.5" customHeight="1">
      <c r="B11" s="24"/>
      <c r="C11" s="24"/>
      <c r="D11" s="24"/>
      <c r="F11" s="24"/>
      <c r="G11" s="24"/>
      <c r="H11" s="24"/>
      <c r="J11" s="24"/>
      <c r="K11" s="24"/>
      <c r="L11" s="24"/>
      <c r="N11" s="24"/>
      <c r="O11" s="24"/>
      <c r="P11" s="24"/>
    </row>
    <row r="12" spans="2:16" ht="16.5" customHeight="1">
      <c r="B12" s="24"/>
      <c r="C12" s="24"/>
      <c r="D12" s="24"/>
      <c r="F12" s="24"/>
      <c r="G12" s="24"/>
      <c r="H12" s="24"/>
      <c r="J12" s="24"/>
      <c r="K12" s="24"/>
      <c r="L12" s="24"/>
      <c r="N12" s="24"/>
      <c r="O12" s="24"/>
      <c r="P12" s="24"/>
    </row>
    <row r="13" spans="2:16" ht="16.5" customHeight="1">
      <c r="B13" s="24"/>
      <c r="C13" s="24"/>
      <c r="D13" s="24"/>
      <c r="F13" s="24"/>
      <c r="G13" s="24"/>
      <c r="H13" s="24"/>
      <c r="J13" s="24"/>
      <c r="K13" s="24"/>
      <c r="L13" s="24"/>
      <c r="N13" s="24"/>
      <c r="O13" s="24"/>
      <c r="P13" s="24"/>
    </row>
    <row r="14" spans="2:16" ht="16.5" customHeight="1">
      <c r="B14" s="24"/>
      <c r="C14" s="24"/>
      <c r="D14" s="24"/>
      <c r="F14" s="24"/>
      <c r="G14" s="24"/>
      <c r="H14" s="24"/>
      <c r="J14" s="24"/>
      <c r="K14" s="24"/>
      <c r="L14" s="24"/>
      <c r="N14" s="24"/>
      <c r="O14" s="24"/>
      <c r="P14" s="24"/>
    </row>
    <row r="15" spans="2:16" ht="16.5" customHeight="1">
      <c r="B15" s="24"/>
      <c r="C15" s="24"/>
      <c r="D15" s="24"/>
      <c r="F15" s="24"/>
      <c r="G15" s="24"/>
      <c r="H15" s="24"/>
      <c r="J15" s="24"/>
      <c r="K15" s="24"/>
      <c r="L15" s="24"/>
      <c r="N15" s="24"/>
      <c r="O15" s="24"/>
      <c r="P15" s="24"/>
    </row>
    <row r="16" spans="2:16" ht="16.5" customHeight="1">
      <c r="B16" s="24"/>
      <c r="C16" s="24"/>
      <c r="D16" s="24"/>
      <c r="F16" s="24"/>
      <c r="G16" s="24"/>
      <c r="H16" s="24"/>
      <c r="J16" s="24"/>
      <c r="K16" s="24"/>
      <c r="L16" s="24"/>
      <c r="N16" s="24"/>
      <c r="O16" s="24"/>
      <c r="P16" s="24"/>
    </row>
    <row r="17" spans="2:16" ht="16.5" customHeight="1">
      <c r="B17" s="52"/>
      <c r="C17" s="52"/>
      <c r="D17" s="52"/>
      <c r="F17" s="24"/>
      <c r="G17" s="24"/>
      <c r="H17" s="24"/>
      <c r="J17" s="24"/>
      <c r="K17" s="24"/>
      <c r="L17" s="24"/>
      <c r="N17" s="24"/>
      <c r="O17" s="24"/>
      <c r="P17" s="24"/>
    </row>
    <row r="18" spans="2:16" ht="16.5" customHeight="1">
      <c r="B18" s="24"/>
      <c r="C18" s="24"/>
      <c r="D18" s="24"/>
      <c r="F18" s="24"/>
      <c r="G18" s="24"/>
      <c r="H18" s="24"/>
      <c r="J18" s="24"/>
      <c r="K18" s="24"/>
      <c r="L18" s="24"/>
      <c r="N18" s="24"/>
      <c r="O18" s="24"/>
      <c r="P18" s="24"/>
    </row>
    <row r="19" spans="2:16" ht="16.5" customHeight="1">
      <c r="B19" s="24"/>
      <c r="C19" s="24"/>
      <c r="D19" s="24"/>
      <c r="F19" s="24"/>
      <c r="G19" s="24"/>
      <c r="H19" s="24"/>
      <c r="J19" s="24"/>
      <c r="K19" s="24"/>
      <c r="L19" s="24"/>
      <c r="N19" s="24"/>
      <c r="O19" s="24"/>
      <c r="P19" s="24"/>
    </row>
    <row r="20" spans="2:16" ht="16.5" customHeight="1">
      <c r="B20" s="24"/>
      <c r="C20" s="24"/>
      <c r="D20" s="24"/>
      <c r="F20" s="24"/>
      <c r="G20" s="24"/>
      <c r="H20" s="24"/>
      <c r="J20" s="24"/>
      <c r="K20" s="24"/>
      <c r="L20" s="24"/>
      <c r="N20" s="24"/>
      <c r="O20" s="24"/>
      <c r="P20" s="24"/>
    </row>
    <row r="21" spans="2:16" ht="16.5" customHeight="1">
      <c r="B21" s="24"/>
      <c r="C21" s="24"/>
      <c r="D21" s="24"/>
      <c r="F21" s="24"/>
      <c r="G21" s="24"/>
      <c r="H21" s="24"/>
      <c r="J21" s="24"/>
      <c r="K21" s="24"/>
      <c r="L21" s="24"/>
      <c r="N21" s="24"/>
      <c r="O21" s="24"/>
      <c r="P21" s="24"/>
    </row>
    <row r="22" spans="2:16" ht="16.5" customHeight="1">
      <c r="B22" s="24"/>
      <c r="C22" s="24"/>
      <c r="D22" s="24"/>
      <c r="F22" s="24"/>
      <c r="G22" s="24"/>
      <c r="H22" s="24"/>
      <c r="J22" s="24"/>
      <c r="K22" s="24"/>
      <c r="L22" s="24"/>
      <c r="N22" s="24"/>
      <c r="O22" s="24"/>
      <c r="P22" s="24"/>
    </row>
    <row r="23" spans="2:16" ht="16.5" customHeight="1">
      <c r="B23" s="24"/>
      <c r="C23" s="24"/>
      <c r="D23" s="24"/>
      <c r="F23" s="24"/>
      <c r="G23" s="24"/>
      <c r="H23" s="24"/>
      <c r="J23" s="24"/>
      <c r="K23" s="24"/>
      <c r="L23" s="24"/>
      <c r="N23" s="24"/>
      <c r="O23" s="24"/>
      <c r="P23" s="24"/>
    </row>
    <row r="24" spans="2:16" ht="16.5" customHeight="1">
      <c r="B24" s="24"/>
      <c r="C24" s="24"/>
      <c r="D24" s="24"/>
      <c r="F24" s="24"/>
      <c r="G24" s="24"/>
      <c r="H24" s="24"/>
      <c r="J24" s="24"/>
      <c r="K24" s="24"/>
      <c r="L24" s="24"/>
      <c r="N24" s="24"/>
      <c r="O24" s="24"/>
      <c r="P24" s="24"/>
    </row>
    <row r="25" spans="2:16" ht="16.5" customHeight="1">
      <c r="B25" s="24"/>
      <c r="C25" s="24"/>
      <c r="D25" s="24"/>
      <c r="F25" s="24"/>
      <c r="G25" s="24"/>
      <c r="H25" s="24"/>
      <c r="J25" s="24"/>
      <c r="K25" s="24"/>
      <c r="L25" s="24"/>
      <c r="N25" s="24"/>
      <c r="O25" s="24"/>
      <c r="P25" s="24"/>
    </row>
    <row r="26" spans="2:16" ht="16.5" customHeight="1">
      <c r="B26" s="22" t="s">
        <v>13</v>
      </c>
      <c r="C26" s="49">
        <f>tblIncome[[#Totals],[每月 ]]</f>
        <v>104166.66666666667</v>
      </c>
      <c r="D26" s="49"/>
      <c r="F26" s="22" t="s">
        <v>13</v>
      </c>
      <c r="G26" s="49">
        <f>tblExpenses[[#Totals],[每月 ]]</f>
        <v>40833.333333333328</v>
      </c>
      <c r="H26" s="49"/>
      <c r="J26" s="22" t="s">
        <v>13</v>
      </c>
      <c r="K26" s="49">
        <f>tblDiscretionary[[#Totals],[每月 ]]</f>
        <v>11041.666666666668</v>
      </c>
      <c r="L26" s="49"/>
      <c r="N26" s="25" t="s">
        <v>13</v>
      </c>
      <c r="O26" s="49">
        <f>tblSavings[[#Totals],[每月 ]]</f>
        <v>19166.666666666668</v>
      </c>
      <c r="P26" s="49"/>
    </row>
    <row r="27" spans="2:16" ht="16.5" customHeight="1">
      <c r="B27" s="26"/>
      <c r="C27" s="27"/>
      <c r="D27" s="27"/>
      <c r="E27" s="28"/>
      <c r="F27" s="26"/>
      <c r="G27" s="27"/>
      <c r="H27" s="27"/>
      <c r="I27" s="28"/>
      <c r="J27" s="26"/>
      <c r="K27" s="27"/>
      <c r="L27" s="27"/>
      <c r="N27" s="25"/>
      <c r="O27" s="29"/>
      <c r="P27" s="29"/>
    </row>
    <row r="29" spans="2:16" ht="16.5" customHeight="1">
      <c r="B29" s="30" t="s">
        <v>14</v>
      </c>
      <c r="C29" s="31" t="s">
        <v>52</v>
      </c>
      <c r="D29" s="31" t="s">
        <v>53</v>
      </c>
      <c r="F29" s="30" t="s">
        <v>21</v>
      </c>
      <c r="G29" s="31" t="s">
        <v>52</v>
      </c>
      <c r="H29" s="31" t="s">
        <v>53</v>
      </c>
      <c r="J29" s="30" t="s">
        <v>38</v>
      </c>
      <c r="K29" s="31" t="s">
        <v>52</v>
      </c>
      <c r="L29" s="31" t="s">
        <v>53</v>
      </c>
      <c r="N29" s="30" t="s">
        <v>48</v>
      </c>
      <c r="O29" s="31" t="s">
        <v>52</v>
      </c>
      <c r="P29" s="31" t="s">
        <v>53</v>
      </c>
    </row>
    <row r="30" spans="2:16" ht="16.5" customHeight="1">
      <c r="B30" s="32" t="s">
        <v>15</v>
      </c>
      <c r="C30" s="33">
        <v>900000</v>
      </c>
      <c r="D30" s="33">
        <f>tblIncome[[#This Row],[年度  ]]/12</f>
        <v>75000</v>
      </c>
      <c r="F30" s="32" t="s">
        <v>22</v>
      </c>
      <c r="G30" s="33">
        <v>150000</v>
      </c>
      <c r="H30" s="33">
        <f>tblExpenses[[#This Row],[年度  ]]/12</f>
        <v>12500</v>
      </c>
      <c r="J30" s="32" t="s">
        <v>39</v>
      </c>
      <c r="K30" s="33">
        <v>12000</v>
      </c>
      <c r="L30" s="33">
        <f>tblDiscretionary[[#This Row],[年度  ]]/12</f>
        <v>1000</v>
      </c>
      <c r="N30" s="32" t="s">
        <v>49</v>
      </c>
      <c r="O30" s="33">
        <v>50000</v>
      </c>
      <c r="P30" s="33">
        <f>tblSavings[[#This Row],[年度  ]]/12</f>
        <v>4166.666666666667</v>
      </c>
    </row>
    <row r="31" spans="2:16" ht="16.5" customHeight="1">
      <c r="B31" s="32" t="s">
        <v>16</v>
      </c>
      <c r="C31" s="33">
        <v>50000</v>
      </c>
      <c r="D31" s="33">
        <f>tblIncome[[#This Row],[年度  ]]/12</f>
        <v>4166.666666666667</v>
      </c>
      <c r="F31" s="32" t="s">
        <v>23</v>
      </c>
      <c r="G31" s="33">
        <v>25000</v>
      </c>
      <c r="H31" s="33">
        <f>tblExpenses[[#This Row],[年度  ]]/12</f>
        <v>2083.3333333333335</v>
      </c>
      <c r="J31" s="32" t="s">
        <v>40</v>
      </c>
      <c r="K31" s="33">
        <v>6000</v>
      </c>
      <c r="L31" s="33">
        <f>tblDiscretionary[[#This Row],[年度  ]]/12</f>
        <v>500</v>
      </c>
      <c r="N31" s="32" t="s">
        <v>50</v>
      </c>
      <c r="O31" s="33">
        <v>120000</v>
      </c>
      <c r="P31" s="33">
        <f>tblSavings[[#This Row],[年度  ]]/12</f>
        <v>10000</v>
      </c>
    </row>
    <row r="32" spans="2:16" ht="16.5" customHeight="1">
      <c r="B32" s="32" t="s">
        <v>17</v>
      </c>
      <c r="C32" s="33">
        <v>300000</v>
      </c>
      <c r="D32" s="33">
        <f>tblIncome[[#This Row],[年度  ]]/12</f>
        <v>25000</v>
      </c>
      <c r="F32" s="32" t="s">
        <v>24</v>
      </c>
      <c r="G32" s="33">
        <v>2000</v>
      </c>
      <c r="H32" s="33">
        <f>tblExpenses[[#This Row],[年度  ]]/12</f>
        <v>166.66666666666666</v>
      </c>
      <c r="J32" s="32" t="s">
        <v>41</v>
      </c>
      <c r="K32" s="33">
        <v>22500</v>
      </c>
      <c r="L32" s="33">
        <f>tblDiscretionary[[#This Row],[年度  ]]/12</f>
        <v>1875</v>
      </c>
      <c r="N32" s="32" t="s">
        <v>51</v>
      </c>
      <c r="O32" s="33">
        <v>60000</v>
      </c>
      <c r="P32" s="33">
        <f>tblSavings[[#This Row],[年度  ]]/12</f>
        <v>5000</v>
      </c>
    </row>
    <row r="33" spans="2:16" ht="16.5" customHeight="1">
      <c r="B33" s="32" t="s">
        <v>18</v>
      </c>
      <c r="C33" s="33"/>
      <c r="D33" s="33">
        <f>tblIncome[[#This Row],[年度  ]]/12</f>
        <v>0</v>
      </c>
      <c r="F33" s="32" t="s">
        <v>25</v>
      </c>
      <c r="G33" s="33">
        <v>40000</v>
      </c>
      <c r="H33" s="33">
        <f>tblExpenses[[#This Row],[年度  ]]/12</f>
        <v>3333.3333333333335</v>
      </c>
      <c r="J33" s="32" t="s">
        <v>42</v>
      </c>
      <c r="K33" s="33">
        <v>12000</v>
      </c>
      <c r="L33" s="33">
        <f>tblDiscretionary[[#This Row],[年度  ]]/12</f>
        <v>1000</v>
      </c>
      <c r="N33" s="32" t="s">
        <v>17</v>
      </c>
      <c r="O33" s="33"/>
      <c r="P33" s="33">
        <f>tblSavings[[#This Row],[年度  ]]/12</f>
        <v>0</v>
      </c>
    </row>
    <row r="34" spans="2:16" ht="16.5" customHeight="1">
      <c r="B34" s="32" t="s">
        <v>19</v>
      </c>
      <c r="C34" s="33"/>
      <c r="D34" s="33">
        <f>tblIncome[[#This Row],[年度  ]]/12</f>
        <v>0</v>
      </c>
      <c r="F34" s="32" t="s">
        <v>26</v>
      </c>
      <c r="G34" s="33">
        <v>150000</v>
      </c>
      <c r="H34" s="33">
        <f>tblExpenses[[#This Row],[年度  ]]/12</f>
        <v>12500</v>
      </c>
      <c r="J34" s="32" t="s">
        <v>43</v>
      </c>
      <c r="K34" s="33">
        <v>3000</v>
      </c>
      <c r="L34" s="33">
        <f>tblDiscretionary[[#This Row],[年度  ]]/12</f>
        <v>250</v>
      </c>
      <c r="N34" s="32" t="s">
        <v>18</v>
      </c>
      <c r="O34" s="33"/>
      <c r="P34" s="33">
        <f>tblSavings[[#This Row],[年度  ]]/12</f>
        <v>0</v>
      </c>
    </row>
    <row r="35" spans="2:16" ht="16.5" customHeight="1">
      <c r="B35" s="32" t="s">
        <v>20</v>
      </c>
      <c r="C35" s="33"/>
      <c r="D35" s="33">
        <f>tblIncome[[#This Row],[年度  ]]/12</f>
        <v>0</v>
      </c>
      <c r="F35" s="32" t="s">
        <v>27</v>
      </c>
      <c r="G35" s="33">
        <v>2500</v>
      </c>
      <c r="H35" s="33">
        <f>tblExpenses[[#This Row],[年度  ]]/12</f>
        <v>208.33333333333334</v>
      </c>
      <c r="J35" s="32" t="s">
        <v>44</v>
      </c>
      <c r="K35" s="33">
        <v>20000</v>
      </c>
      <c r="L35" s="33">
        <f>tblDiscretionary[[#This Row],[年度  ]]/12</f>
        <v>1666.6666666666667</v>
      </c>
      <c r="N35" s="32" t="s">
        <v>55</v>
      </c>
      <c r="O35" s="34">
        <f>SUBTOTAL(109,tblSavings[[年度  ]])</f>
        <v>230000</v>
      </c>
      <c r="P35" s="34">
        <f>SUBTOTAL(109,tblSavings[[每月 ]])</f>
        <v>19166.666666666668</v>
      </c>
    </row>
    <row r="36" spans="2:16" ht="16.5" customHeight="1">
      <c r="B36" s="32" t="s">
        <v>55</v>
      </c>
      <c r="C36" s="34">
        <f>SUBTOTAL(109,tblIncome[[年度  ]])</f>
        <v>1250000</v>
      </c>
      <c r="D36" s="34">
        <f>SUBTOTAL(109,tblIncome[[每月 ]])</f>
        <v>104166.66666666667</v>
      </c>
      <c r="F36" s="32" t="s">
        <v>28</v>
      </c>
      <c r="G36" s="33">
        <v>12000</v>
      </c>
      <c r="H36" s="33">
        <f>tblExpenses[[#This Row],[年度  ]]/12</f>
        <v>1000</v>
      </c>
      <c r="J36" s="32" t="s">
        <v>45</v>
      </c>
      <c r="K36" s="33">
        <v>6000</v>
      </c>
      <c r="L36" s="33">
        <f>tblDiscretionary[[#This Row],[年度  ]]/12</f>
        <v>500</v>
      </c>
    </row>
    <row r="37" spans="2:16" ht="16.5" customHeight="1">
      <c r="F37" s="32" t="s">
        <v>29</v>
      </c>
      <c r="G37" s="33">
        <v>6000</v>
      </c>
      <c r="H37" s="33">
        <f>tblExpenses[[#This Row],[年度  ]]/12</f>
        <v>500</v>
      </c>
      <c r="J37" s="32" t="s">
        <v>46</v>
      </c>
      <c r="K37" s="33">
        <v>3000</v>
      </c>
      <c r="L37" s="33">
        <f>tblDiscretionary[[#This Row],[年度  ]]/12</f>
        <v>250</v>
      </c>
    </row>
    <row r="38" spans="2:16" ht="16.5" customHeight="1">
      <c r="F38" s="32" t="s">
        <v>30</v>
      </c>
      <c r="G38" s="33">
        <v>6000</v>
      </c>
      <c r="H38" s="33">
        <f>tblExpenses[[#This Row],[年度  ]]/12</f>
        <v>500</v>
      </c>
      <c r="J38" s="32" t="s">
        <v>47</v>
      </c>
      <c r="K38" s="33">
        <v>48000</v>
      </c>
      <c r="L38" s="33">
        <f>tblDiscretionary[[#This Row],[年度  ]]/12</f>
        <v>4000</v>
      </c>
    </row>
    <row r="39" spans="2:16" ht="16.5" customHeight="1">
      <c r="F39" s="32" t="s">
        <v>31</v>
      </c>
      <c r="G39" s="33">
        <v>1500</v>
      </c>
      <c r="H39" s="33">
        <f>tblExpenses[[#This Row],[年度  ]]/12</f>
        <v>125</v>
      </c>
      <c r="J39" s="32" t="s">
        <v>17</v>
      </c>
      <c r="K39" s="33"/>
      <c r="L39" s="33">
        <f>tblDiscretionary[[#This Row],[年度  ]]/12</f>
        <v>0</v>
      </c>
    </row>
    <row r="40" spans="2:16" ht="16.5" customHeight="1">
      <c r="F40" s="32" t="s">
        <v>32</v>
      </c>
      <c r="G40" s="33">
        <v>6000</v>
      </c>
      <c r="H40" s="33">
        <f>tblExpenses[[#This Row],[年度  ]]/12</f>
        <v>500</v>
      </c>
      <c r="J40" s="32" t="s">
        <v>18</v>
      </c>
      <c r="K40" s="33"/>
      <c r="L40" s="33">
        <f>tblDiscretionary[[#This Row],[年度  ]]/12</f>
        <v>0</v>
      </c>
    </row>
    <row r="41" spans="2:16" ht="16.5" customHeight="1">
      <c r="F41" s="32" t="s">
        <v>33</v>
      </c>
      <c r="G41" s="33">
        <v>6000</v>
      </c>
      <c r="H41" s="33">
        <f>tblExpenses[[#This Row],[年度  ]]/12</f>
        <v>500</v>
      </c>
      <c r="J41" s="32" t="s">
        <v>55</v>
      </c>
      <c r="K41" s="34">
        <f>SUBTOTAL(109,tblDiscretionary[[年度  ]])</f>
        <v>132500</v>
      </c>
      <c r="L41" s="34">
        <f>SUBTOTAL(109,tblDiscretionary[[每月 ]])</f>
        <v>11041.666666666668</v>
      </c>
    </row>
    <row r="42" spans="2:16" ht="16.5" customHeight="1">
      <c r="F42" s="32" t="s">
        <v>34</v>
      </c>
      <c r="G42" s="33">
        <v>15000</v>
      </c>
      <c r="H42" s="33">
        <f>tblExpenses[[#This Row],[年度  ]]/12</f>
        <v>1250</v>
      </c>
    </row>
    <row r="43" spans="2:16" ht="16.5" customHeight="1">
      <c r="F43" s="32" t="s">
        <v>35</v>
      </c>
      <c r="G43" s="33">
        <v>50000</v>
      </c>
      <c r="H43" s="33">
        <f>tblExpenses[[#This Row],[年度  ]]/12</f>
        <v>4166.666666666667</v>
      </c>
    </row>
    <row r="44" spans="2:16" ht="16.5" customHeight="1">
      <c r="F44" s="32" t="s">
        <v>36</v>
      </c>
      <c r="G44" s="33">
        <v>12000</v>
      </c>
      <c r="H44" s="33">
        <f>tblExpenses[[#This Row],[年度  ]]/12</f>
        <v>1000</v>
      </c>
    </row>
    <row r="45" spans="2:16" ht="16.5" customHeight="1">
      <c r="F45" s="32" t="s">
        <v>37</v>
      </c>
      <c r="G45" s="33">
        <v>6000</v>
      </c>
      <c r="H45" s="33">
        <f>tblExpenses[[#This Row],[年度  ]]/12</f>
        <v>500</v>
      </c>
    </row>
    <row r="46" spans="2:16" ht="16.5" customHeight="1">
      <c r="F46" s="32" t="s">
        <v>17</v>
      </c>
      <c r="G46" s="33"/>
      <c r="H46" s="33">
        <f>tblExpenses[[#This Row],[年度  ]]/12</f>
        <v>0</v>
      </c>
    </row>
    <row r="47" spans="2:16" ht="16.5" customHeight="1">
      <c r="F47" s="32" t="s">
        <v>18</v>
      </c>
      <c r="G47" s="33"/>
      <c r="H47" s="33">
        <f>tblExpenses[[#This Row],[年度  ]]/12</f>
        <v>0</v>
      </c>
    </row>
    <row r="48" spans="2:16" ht="16.5" customHeight="1">
      <c r="F48" s="32" t="s">
        <v>55</v>
      </c>
      <c r="G48" s="34">
        <f>SUBTOTAL(109,tblExpenses[[年度  ]])</f>
        <v>490000</v>
      </c>
      <c r="H48" s="34">
        <f>SUBTOTAL(109,tblExpenses[[每月 ]])</f>
        <v>40833.333333333328</v>
      </c>
    </row>
  </sheetData>
  <mergeCells count="11">
    <mergeCell ref="C26:D26"/>
    <mergeCell ref="G26:H26"/>
    <mergeCell ref="K26:L26"/>
    <mergeCell ref="O26:P26"/>
    <mergeCell ref="H2:P2"/>
    <mergeCell ref="C6:D6"/>
    <mergeCell ref="G6:H6"/>
    <mergeCell ref="K6:L6"/>
    <mergeCell ref="O6:P6"/>
    <mergeCell ref="B17:D17"/>
    <mergeCell ref="B2:F2"/>
  </mergeCells>
  <phoneticPr fontId="8" type="noConversion"/>
  <pageMargins left="0.25" right="0.25" top="0.75" bottom="0.75" header="0.3" footer="0.3"/>
  <pageSetup fitToHeight="0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  <pageSetUpPr autoPageBreaks="0" fitToPage="1"/>
  </sheetPr>
  <dimension ref="B1:Q50"/>
  <sheetViews>
    <sheetView showGridLines="0" zoomScaleNormal="100" workbookViewId="0"/>
  </sheetViews>
  <sheetFormatPr defaultRowHeight="16.5" customHeight="1"/>
  <cols>
    <col min="1" max="1" width="2.7109375" style="3" customWidth="1"/>
    <col min="2" max="2" width="16.7109375" style="3" customWidth="1"/>
    <col min="3" max="3" width="24.28515625" style="3" customWidth="1"/>
    <col min="4" max="15" width="11.7109375" style="16" customWidth="1"/>
    <col min="16" max="16" width="13.140625" style="3" customWidth="1"/>
    <col min="17" max="17" width="11" style="3" customWidth="1"/>
    <col min="18" max="16384" width="9.140625" style="3"/>
  </cols>
  <sheetData>
    <row r="1" spans="2:17" s="1" customFormat="1" ht="39" customHeight="1">
      <c r="B1" s="14" t="s">
        <v>80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2:17" ht="31.5" customHeight="1">
      <c r="B2" s="53">
        <f>MonthlyCashFlowToDate</f>
        <v>183800.00000180001</v>
      </c>
      <c r="C2" s="53"/>
      <c r="D2" s="53"/>
      <c r="E2" s="53"/>
      <c r="F2" s="53"/>
      <c r="H2" s="55" t="s">
        <v>74</v>
      </c>
      <c r="I2" s="55"/>
      <c r="J2" s="55"/>
      <c r="K2" s="55"/>
      <c r="L2" s="55"/>
      <c r="M2" s="55"/>
      <c r="N2" s="55"/>
      <c r="O2" s="55"/>
      <c r="P2" s="55"/>
      <c r="Q2" s="55"/>
    </row>
    <row r="5" spans="2:17" ht="16.5" customHeight="1">
      <c r="B5" s="17" t="s">
        <v>60</v>
      </c>
      <c r="C5" s="17" t="s">
        <v>61</v>
      </c>
      <c r="D5" s="18" t="s">
        <v>62</v>
      </c>
      <c r="E5" s="18" t="s">
        <v>63</v>
      </c>
      <c r="F5" s="18" t="s">
        <v>64</v>
      </c>
      <c r="G5" s="18" t="s">
        <v>65</v>
      </c>
      <c r="H5" s="18" t="s">
        <v>66</v>
      </c>
      <c r="I5" s="18" t="s">
        <v>67</v>
      </c>
      <c r="J5" s="18" t="s">
        <v>68</v>
      </c>
      <c r="K5" s="18" t="s">
        <v>69</v>
      </c>
      <c r="L5" s="18" t="s">
        <v>70</v>
      </c>
      <c r="M5" s="18" t="s">
        <v>71</v>
      </c>
      <c r="N5" s="18" t="s">
        <v>72</v>
      </c>
      <c r="O5" s="18" t="s">
        <v>73</v>
      </c>
      <c r="P5" s="17" t="s">
        <v>54</v>
      </c>
    </row>
    <row r="6" spans="2:17" ht="16.5" customHeight="1">
      <c r="B6" s="17" t="s">
        <v>75</v>
      </c>
      <c r="C6" s="17" t="s">
        <v>15</v>
      </c>
      <c r="D6" s="18">
        <v>75000</v>
      </c>
      <c r="E6" s="18">
        <v>75000</v>
      </c>
      <c r="F6" s="18">
        <v>75000</v>
      </c>
      <c r="G6" s="18">
        <v>75000</v>
      </c>
      <c r="H6" s="18">
        <v>75000</v>
      </c>
      <c r="I6" s="18">
        <v>75000</v>
      </c>
      <c r="J6" s="18"/>
      <c r="K6" s="18"/>
      <c r="L6" s="18"/>
      <c r="M6" s="18"/>
      <c r="N6" s="18"/>
      <c r="O6" s="18"/>
      <c r="P6" s="18">
        <f>SUM(tblMontly[[#This Row],[ 一月]:[ 十二月]])</f>
        <v>450000</v>
      </c>
    </row>
    <row r="7" spans="2:17" ht="16.5" customHeight="1">
      <c r="B7" s="17" t="s">
        <v>56</v>
      </c>
      <c r="C7" s="17" t="s">
        <v>16</v>
      </c>
      <c r="D7" s="18">
        <v>4000</v>
      </c>
      <c r="E7" s="18">
        <v>4000</v>
      </c>
      <c r="F7" s="18">
        <v>5000</v>
      </c>
      <c r="G7" s="18">
        <v>2000</v>
      </c>
      <c r="H7" s="18">
        <v>0</v>
      </c>
      <c r="I7" s="18">
        <v>6000</v>
      </c>
      <c r="J7" s="18"/>
      <c r="K7" s="18"/>
      <c r="L7" s="18"/>
      <c r="M7" s="18"/>
      <c r="N7" s="18"/>
      <c r="O7" s="18"/>
      <c r="P7" s="18">
        <f>SUM(tblMontly[[#This Row],[ 一月]:[ 十二月]])</f>
        <v>21000</v>
      </c>
    </row>
    <row r="8" spans="2:17" ht="16.5" customHeight="1">
      <c r="B8" s="17" t="s">
        <v>56</v>
      </c>
      <c r="C8" s="17" t="s">
        <v>17</v>
      </c>
      <c r="D8" s="18">
        <v>25000</v>
      </c>
      <c r="E8" s="18">
        <v>25000</v>
      </c>
      <c r="F8" s="18">
        <v>25000</v>
      </c>
      <c r="G8" s="18">
        <v>25000</v>
      </c>
      <c r="H8" s="18">
        <v>25000</v>
      </c>
      <c r="I8" s="18">
        <v>25000</v>
      </c>
      <c r="J8" s="18"/>
      <c r="K8" s="18"/>
      <c r="L8" s="18"/>
      <c r="M8" s="18"/>
      <c r="N8" s="18"/>
      <c r="O8" s="18"/>
      <c r="P8" s="18">
        <f>SUM(tblMontly[[#This Row],[ 一月]:[ 十二月]])</f>
        <v>150000</v>
      </c>
    </row>
    <row r="9" spans="2:17" ht="16.5" customHeight="1">
      <c r="B9" s="17" t="s">
        <v>56</v>
      </c>
      <c r="C9" s="17" t="s">
        <v>18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/>
      <c r="K9" s="18"/>
      <c r="L9" s="18"/>
      <c r="M9" s="18"/>
      <c r="N9" s="18"/>
      <c r="O9" s="18"/>
      <c r="P9" s="18">
        <f>SUM(tblMontly[[#This Row],[ 一月]:[ 十二月]])</f>
        <v>0</v>
      </c>
    </row>
    <row r="10" spans="2:17" ht="16.5" customHeight="1">
      <c r="B10" s="17" t="s">
        <v>56</v>
      </c>
      <c r="C10" s="17" t="s">
        <v>19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/>
      <c r="K10" s="18"/>
      <c r="L10" s="18"/>
      <c r="M10" s="18"/>
      <c r="N10" s="18"/>
      <c r="O10" s="18"/>
      <c r="P10" s="18">
        <f>SUM(tblMontly[[#This Row],[ 一月]:[ 十二月]])</f>
        <v>0</v>
      </c>
    </row>
    <row r="11" spans="2:17" ht="16.5" customHeight="1">
      <c r="B11" s="17" t="s">
        <v>76</v>
      </c>
      <c r="C11" s="17" t="s">
        <v>20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/>
      <c r="K11" s="18"/>
      <c r="L11" s="18"/>
      <c r="M11" s="18"/>
      <c r="N11" s="18"/>
      <c r="O11" s="18"/>
      <c r="P11" s="18">
        <f>SUM(tblMontly[[#This Row],[ 一月]:[ 十二月]])</f>
        <v>0</v>
      </c>
    </row>
    <row r="12" spans="2:17" ht="16.5" customHeight="1">
      <c r="B12" s="17" t="s">
        <v>77</v>
      </c>
      <c r="C12" s="17" t="s">
        <v>22</v>
      </c>
      <c r="D12" s="18">
        <v>12500</v>
      </c>
      <c r="E12" s="18">
        <v>12500</v>
      </c>
      <c r="F12" s="18">
        <v>12500</v>
      </c>
      <c r="G12" s="18">
        <v>12500</v>
      </c>
      <c r="H12" s="18">
        <v>12500</v>
      </c>
      <c r="I12" s="18">
        <v>12500</v>
      </c>
      <c r="J12" s="18"/>
      <c r="K12" s="18"/>
      <c r="L12" s="18"/>
      <c r="M12" s="18"/>
      <c r="N12" s="18"/>
      <c r="O12" s="18"/>
      <c r="P12" s="18">
        <f>SUM(tblMontly[[#This Row],[ 一月]:[ 十二月]])</f>
        <v>75000</v>
      </c>
    </row>
    <row r="13" spans="2:17" ht="16.5" customHeight="1">
      <c r="B13" s="17" t="s">
        <v>77</v>
      </c>
      <c r="C13" s="17" t="s">
        <v>23</v>
      </c>
      <c r="D13" s="18">
        <v>2083.333333</v>
      </c>
      <c r="E13" s="18">
        <v>2083.333333</v>
      </c>
      <c r="F13" s="18">
        <v>2083.333333</v>
      </c>
      <c r="G13" s="18">
        <v>2083.333333</v>
      </c>
      <c r="H13" s="18">
        <v>2083.333333</v>
      </c>
      <c r="I13" s="18">
        <v>2083.333333</v>
      </c>
      <c r="J13" s="18"/>
      <c r="K13" s="18"/>
      <c r="L13" s="18"/>
      <c r="M13" s="18"/>
      <c r="N13" s="18"/>
      <c r="O13" s="18"/>
      <c r="P13" s="18">
        <f>SUM(tblMontly[[#This Row],[ 一月]:[ 十二月]])</f>
        <v>12499.999998000001</v>
      </c>
    </row>
    <row r="14" spans="2:17" ht="16.5" customHeight="1">
      <c r="B14" s="17" t="s">
        <v>77</v>
      </c>
      <c r="C14" s="17" t="s">
        <v>24</v>
      </c>
      <c r="D14" s="18">
        <v>166.66666670000001</v>
      </c>
      <c r="E14" s="18">
        <v>166.66666670000001</v>
      </c>
      <c r="F14" s="18">
        <v>166.66666670000001</v>
      </c>
      <c r="G14" s="18">
        <v>166.66666670000001</v>
      </c>
      <c r="H14" s="18">
        <v>166.66666670000001</v>
      </c>
      <c r="I14" s="18">
        <v>166.66666670000001</v>
      </c>
      <c r="J14" s="18"/>
      <c r="K14" s="18"/>
      <c r="L14" s="18"/>
      <c r="M14" s="18"/>
      <c r="N14" s="18"/>
      <c r="O14" s="18"/>
      <c r="P14" s="18">
        <f>SUM(tblMontly[[#This Row],[ 一月]:[ 十二月]])</f>
        <v>1000.0000001999999</v>
      </c>
    </row>
    <row r="15" spans="2:17" ht="16.5" customHeight="1">
      <c r="B15" s="17" t="s">
        <v>77</v>
      </c>
      <c r="C15" s="17" t="s">
        <v>25</v>
      </c>
      <c r="D15" s="18">
        <v>3333.333333</v>
      </c>
      <c r="E15" s="18">
        <v>3333.333333</v>
      </c>
      <c r="F15" s="18">
        <v>3333.333333</v>
      </c>
      <c r="G15" s="18">
        <v>3333.333333</v>
      </c>
      <c r="H15" s="18">
        <v>3333.333333</v>
      </c>
      <c r="I15" s="18">
        <v>3333.333333</v>
      </c>
      <c r="J15" s="18"/>
      <c r="K15" s="18"/>
      <c r="L15" s="18"/>
      <c r="M15" s="18"/>
      <c r="N15" s="18"/>
      <c r="O15" s="18"/>
      <c r="P15" s="18">
        <f>SUM(tblMontly[[#This Row],[ 一月]:[ 十二月]])</f>
        <v>19999.999997999999</v>
      </c>
    </row>
    <row r="16" spans="2:17" ht="16.5" customHeight="1">
      <c r="B16" s="17" t="s">
        <v>77</v>
      </c>
      <c r="C16" s="17" t="s">
        <v>26</v>
      </c>
      <c r="D16" s="18">
        <v>12500</v>
      </c>
      <c r="E16" s="18">
        <v>12500</v>
      </c>
      <c r="F16" s="18">
        <v>12500</v>
      </c>
      <c r="G16" s="18">
        <v>12500</v>
      </c>
      <c r="H16" s="18">
        <v>12500</v>
      </c>
      <c r="I16" s="18">
        <v>12500</v>
      </c>
      <c r="J16" s="18"/>
      <c r="K16" s="18"/>
      <c r="L16" s="18"/>
      <c r="M16" s="18"/>
      <c r="N16" s="18"/>
      <c r="O16" s="18"/>
      <c r="P16" s="18">
        <f>SUM(tblMontly[[#This Row],[ 一月]:[ 十二月]])</f>
        <v>75000</v>
      </c>
    </row>
    <row r="17" spans="2:16" ht="16.5" customHeight="1">
      <c r="B17" s="17" t="s">
        <v>77</v>
      </c>
      <c r="C17" s="17" t="s">
        <v>27</v>
      </c>
      <c r="D17" s="18">
        <v>250</v>
      </c>
      <c r="E17" s="18">
        <v>250</v>
      </c>
      <c r="F17" s="18">
        <v>250</v>
      </c>
      <c r="G17" s="18">
        <v>250</v>
      </c>
      <c r="H17" s="18">
        <v>250</v>
      </c>
      <c r="I17" s="18">
        <v>250</v>
      </c>
      <c r="J17" s="18"/>
      <c r="K17" s="18"/>
      <c r="L17" s="18"/>
      <c r="M17" s="18"/>
      <c r="N17" s="18"/>
      <c r="O17" s="18"/>
      <c r="P17" s="18">
        <f>SUM(tblMontly[[#This Row],[ 一月]:[ 十二月]])</f>
        <v>1500</v>
      </c>
    </row>
    <row r="18" spans="2:16" ht="16.5" customHeight="1">
      <c r="B18" s="17" t="s">
        <v>77</v>
      </c>
      <c r="C18" s="17" t="s">
        <v>28</v>
      </c>
      <c r="D18" s="18">
        <v>1000</v>
      </c>
      <c r="E18" s="18">
        <v>1000</v>
      </c>
      <c r="F18" s="18">
        <v>1000</v>
      </c>
      <c r="G18" s="18">
        <v>1000</v>
      </c>
      <c r="H18" s="18">
        <v>1000</v>
      </c>
      <c r="I18" s="18">
        <v>1000</v>
      </c>
      <c r="J18" s="18"/>
      <c r="K18" s="18"/>
      <c r="L18" s="18"/>
      <c r="M18" s="18"/>
      <c r="N18" s="18"/>
      <c r="O18" s="18"/>
      <c r="P18" s="18">
        <f>SUM(tblMontly[[#This Row],[ 一月]:[ 十二月]])</f>
        <v>6000</v>
      </c>
    </row>
    <row r="19" spans="2:16" ht="16.5" customHeight="1">
      <c r="B19" s="17" t="s">
        <v>77</v>
      </c>
      <c r="C19" s="17" t="s">
        <v>29</v>
      </c>
      <c r="D19" s="18">
        <v>500</v>
      </c>
      <c r="E19" s="18">
        <v>500</v>
      </c>
      <c r="F19" s="18">
        <v>500</v>
      </c>
      <c r="G19" s="18">
        <v>500</v>
      </c>
      <c r="H19" s="18">
        <v>500</v>
      </c>
      <c r="I19" s="18">
        <v>500</v>
      </c>
      <c r="J19" s="18"/>
      <c r="K19" s="18"/>
      <c r="L19" s="18"/>
      <c r="M19" s="18"/>
      <c r="N19" s="18"/>
      <c r="O19" s="18"/>
      <c r="P19" s="18">
        <f>SUM(tblMontly[[#This Row],[ 一月]:[ 十二月]])</f>
        <v>3000</v>
      </c>
    </row>
    <row r="20" spans="2:16" ht="16.5" customHeight="1">
      <c r="B20" s="17" t="s">
        <v>77</v>
      </c>
      <c r="C20" s="17" t="s">
        <v>30</v>
      </c>
      <c r="D20" s="18">
        <v>500</v>
      </c>
      <c r="E20" s="18">
        <v>500</v>
      </c>
      <c r="F20" s="18">
        <v>500</v>
      </c>
      <c r="G20" s="18">
        <v>500</v>
      </c>
      <c r="H20" s="18">
        <v>500</v>
      </c>
      <c r="I20" s="18">
        <v>500</v>
      </c>
      <c r="J20" s="18"/>
      <c r="K20" s="18"/>
      <c r="L20" s="18"/>
      <c r="M20" s="18"/>
      <c r="N20" s="18"/>
      <c r="O20" s="18"/>
      <c r="P20" s="18">
        <f>SUM(tblMontly[[#This Row],[ 一月]:[ 十二月]])</f>
        <v>3000</v>
      </c>
    </row>
    <row r="21" spans="2:16" ht="16.5" customHeight="1">
      <c r="B21" s="17" t="s">
        <v>77</v>
      </c>
      <c r="C21" s="17" t="s">
        <v>57</v>
      </c>
      <c r="D21" s="18">
        <v>250</v>
      </c>
      <c r="E21" s="18">
        <v>250</v>
      </c>
      <c r="F21" s="18">
        <v>250</v>
      </c>
      <c r="G21" s="18">
        <v>250</v>
      </c>
      <c r="H21" s="18">
        <v>250</v>
      </c>
      <c r="I21" s="18">
        <v>250</v>
      </c>
      <c r="J21" s="18"/>
      <c r="K21" s="18"/>
      <c r="L21" s="18"/>
      <c r="M21" s="18"/>
      <c r="N21" s="18"/>
      <c r="O21" s="18"/>
      <c r="P21" s="18">
        <f>SUM(tblMontly[[#This Row],[ 一月]:[ 十二月]])</f>
        <v>1500</v>
      </c>
    </row>
    <row r="22" spans="2:16" ht="16.5" customHeight="1">
      <c r="B22" s="17" t="s">
        <v>77</v>
      </c>
      <c r="C22" s="17" t="s">
        <v>31</v>
      </c>
      <c r="D22" s="18">
        <v>125</v>
      </c>
      <c r="E22" s="18">
        <v>125</v>
      </c>
      <c r="F22" s="18">
        <v>125</v>
      </c>
      <c r="G22" s="18">
        <v>125</v>
      </c>
      <c r="H22" s="18">
        <v>125</v>
      </c>
      <c r="I22" s="18">
        <v>125</v>
      </c>
      <c r="J22" s="18"/>
      <c r="K22" s="18"/>
      <c r="L22" s="18"/>
      <c r="M22" s="18"/>
      <c r="N22" s="18"/>
      <c r="O22" s="18"/>
      <c r="P22" s="18">
        <f>SUM(tblMontly[[#This Row],[ 一月]:[ 十二月]])</f>
        <v>750</v>
      </c>
    </row>
    <row r="23" spans="2:16" ht="16.5" customHeight="1">
      <c r="B23" s="17" t="s">
        <v>77</v>
      </c>
      <c r="C23" s="17" t="s">
        <v>32</v>
      </c>
      <c r="D23" s="18">
        <v>500</v>
      </c>
      <c r="E23" s="18">
        <v>500</v>
      </c>
      <c r="F23" s="18">
        <v>500</v>
      </c>
      <c r="G23" s="18">
        <v>500</v>
      </c>
      <c r="H23" s="18">
        <v>500</v>
      </c>
      <c r="I23" s="18">
        <v>500</v>
      </c>
      <c r="J23" s="18"/>
      <c r="K23" s="18"/>
      <c r="L23" s="18"/>
      <c r="M23" s="18"/>
      <c r="N23" s="18"/>
      <c r="O23" s="18"/>
      <c r="P23" s="18">
        <f>SUM(tblMontly[[#This Row],[ 一月]:[ 十二月]])</f>
        <v>3000</v>
      </c>
    </row>
    <row r="24" spans="2:16" ht="16.5" customHeight="1">
      <c r="B24" s="17" t="s">
        <v>77</v>
      </c>
      <c r="C24" s="17" t="s">
        <v>33</v>
      </c>
      <c r="D24" s="18">
        <v>500</v>
      </c>
      <c r="E24" s="18">
        <v>500</v>
      </c>
      <c r="F24" s="18">
        <v>500</v>
      </c>
      <c r="G24" s="18">
        <v>500</v>
      </c>
      <c r="H24" s="18">
        <v>500</v>
      </c>
      <c r="I24" s="18">
        <v>500</v>
      </c>
      <c r="J24" s="18"/>
      <c r="K24" s="18"/>
      <c r="L24" s="18"/>
      <c r="M24" s="18"/>
      <c r="N24" s="18"/>
      <c r="O24" s="18"/>
      <c r="P24" s="18">
        <f>SUM(tblMontly[[#This Row],[ 一月]:[ 十二月]])</f>
        <v>3000</v>
      </c>
    </row>
    <row r="25" spans="2:16" ht="16.5" customHeight="1">
      <c r="B25" s="17" t="s">
        <v>77</v>
      </c>
      <c r="C25" s="17" t="s">
        <v>34</v>
      </c>
      <c r="D25" s="18">
        <v>1250</v>
      </c>
      <c r="E25" s="18">
        <v>1250</v>
      </c>
      <c r="F25" s="18">
        <v>1250</v>
      </c>
      <c r="G25" s="18">
        <v>1250</v>
      </c>
      <c r="H25" s="18">
        <v>1250</v>
      </c>
      <c r="I25" s="18">
        <v>1250</v>
      </c>
      <c r="J25" s="18"/>
      <c r="K25" s="18"/>
      <c r="L25" s="18"/>
      <c r="M25" s="18"/>
      <c r="N25" s="18"/>
      <c r="O25" s="18"/>
      <c r="P25" s="18">
        <f>SUM(tblMontly[[#This Row],[ 一月]:[ 十二月]])</f>
        <v>7500</v>
      </c>
    </row>
    <row r="26" spans="2:16" ht="16.5" customHeight="1">
      <c r="B26" s="17" t="s">
        <v>77</v>
      </c>
      <c r="C26" s="17" t="s">
        <v>35</v>
      </c>
      <c r="D26" s="18">
        <v>4000</v>
      </c>
      <c r="E26" s="18">
        <v>5000</v>
      </c>
      <c r="F26" s="18">
        <v>4500</v>
      </c>
      <c r="G26" s="18">
        <v>4000</v>
      </c>
      <c r="H26" s="18">
        <v>4500</v>
      </c>
      <c r="I26" s="18">
        <v>4250</v>
      </c>
      <c r="J26" s="18"/>
      <c r="K26" s="18"/>
      <c r="L26" s="18"/>
      <c r="M26" s="18"/>
      <c r="N26" s="18"/>
      <c r="O26" s="18"/>
      <c r="P26" s="18">
        <f>SUM(tblMontly[[#This Row],[ 一月]:[ 十二月]])</f>
        <v>26250</v>
      </c>
    </row>
    <row r="27" spans="2:16" ht="16.5" customHeight="1">
      <c r="B27" s="17" t="s">
        <v>77</v>
      </c>
      <c r="C27" s="17" t="s">
        <v>36</v>
      </c>
      <c r="D27" s="18">
        <v>500</v>
      </c>
      <c r="E27" s="18">
        <v>750</v>
      </c>
      <c r="F27" s="18">
        <v>1000</v>
      </c>
      <c r="G27" s="18">
        <v>750</v>
      </c>
      <c r="H27" s="18">
        <v>1250</v>
      </c>
      <c r="I27" s="18">
        <v>750</v>
      </c>
      <c r="J27" s="18"/>
      <c r="K27" s="18"/>
      <c r="L27" s="18"/>
      <c r="M27" s="18"/>
      <c r="N27" s="18"/>
      <c r="O27" s="18"/>
      <c r="P27" s="18">
        <f>SUM(tblMontly[[#This Row],[ 一月]:[ 十二月]])</f>
        <v>5000</v>
      </c>
    </row>
    <row r="28" spans="2:16" ht="16.5" customHeight="1">
      <c r="B28" s="17" t="s">
        <v>77</v>
      </c>
      <c r="C28" s="17" t="s">
        <v>37</v>
      </c>
      <c r="D28" s="18">
        <v>500</v>
      </c>
      <c r="E28" s="18">
        <v>100</v>
      </c>
      <c r="F28" s="18">
        <v>250</v>
      </c>
      <c r="G28" s="18">
        <v>250</v>
      </c>
      <c r="H28" s="18">
        <v>200</v>
      </c>
      <c r="I28" s="18">
        <v>700</v>
      </c>
      <c r="J28" s="18"/>
      <c r="K28" s="18"/>
      <c r="L28" s="18"/>
      <c r="M28" s="18"/>
      <c r="N28" s="18"/>
      <c r="O28" s="18"/>
      <c r="P28" s="18">
        <f>SUM(tblMontly[[#This Row],[ 一月]:[ 十二月]])</f>
        <v>2000</v>
      </c>
    </row>
    <row r="29" spans="2:16" ht="16.5" customHeight="1">
      <c r="B29" s="17" t="s">
        <v>77</v>
      </c>
      <c r="C29" s="17" t="s">
        <v>58</v>
      </c>
      <c r="D29" s="18">
        <v>300</v>
      </c>
      <c r="E29" s="18">
        <v>300</v>
      </c>
      <c r="F29" s="18">
        <v>300</v>
      </c>
      <c r="G29" s="18">
        <v>200</v>
      </c>
      <c r="H29" s="18">
        <v>300</v>
      </c>
      <c r="I29" s="18">
        <v>300</v>
      </c>
      <c r="J29" s="18"/>
      <c r="K29" s="18"/>
      <c r="L29" s="18"/>
      <c r="M29" s="18"/>
      <c r="N29" s="18"/>
      <c r="O29" s="18"/>
      <c r="P29" s="18">
        <f>SUM(tblMontly[[#This Row],[ 一月]:[ 十二月]])</f>
        <v>1700</v>
      </c>
    </row>
    <row r="30" spans="2:16" ht="16.5" customHeight="1">
      <c r="B30" s="17" t="s">
        <v>77</v>
      </c>
      <c r="C30" s="17" t="s">
        <v>18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/>
      <c r="K30" s="18"/>
      <c r="L30" s="18"/>
      <c r="M30" s="18"/>
      <c r="N30" s="18"/>
      <c r="O30" s="18"/>
      <c r="P30" s="18">
        <f>SUM(tblMontly[[#This Row],[ 一月]:[ 十二月]])</f>
        <v>0</v>
      </c>
    </row>
    <row r="31" spans="2:16" ht="16.5" customHeight="1">
      <c r="B31" s="17" t="s">
        <v>77</v>
      </c>
      <c r="C31" s="17" t="s">
        <v>19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/>
      <c r="K31" s="18"/>
      <c r="L31" s="18"/>
      <c r="M31" s="18"/>
      <c r="N31" s="18"/>
      <c r="O31" s="18"/>
      <c r="P31" s="18">
        <f>SUM(tblMontly[[#This Row],[ 一月]:[ 十二月]])</f>
        <v>0</v>
      </c>
    </row>
    <row r="32" spans="2:16" ht="16.5" customHeight="1">
      <c r="B32" s="17" t="s">
        <v>77</v>
      </c>
      <c r="C32" s="17" t="s">
        <v>20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/>
      <c r="K32" s="18"/>
      <c r="L32" s="18"/>
      <c r="M32" s="18"/>
      <c r="N32" s="18"/>
      <c r="O32" s="18"/>
      <c r="P32" s="18">
        <f>SUM(tblMontly[[#This Row],[ 一月]:[ 十二月]])</f>
        <v>0</v>
      </c>
    </row>
    <row r="33" spans="2:16" ht="16.5" customHeight="1">
      <c r="B33" s="17" t="s">
        <v>78</v>
      </c>
      <c r="C33" s="17" t="s">
        <v>39</v>
      </c>
      <c r="D33" s="18">
        <v>500</v>
      </c>
      <c r="E33" s="18">
        <v>1500</v>
      </c>
      <c r="F33" s="18">
        <v>1000</v>
      </c>
      <c r="G33" s="18">
        <v>500</v>
      </c>
      <c r="H33" s="18">
        <v>1500</v>
      </c>
      <c r="I33" s="18">
        <v>1000</v>
      </c>
      <c r="J33" s="18"/>
      <c r="K33" s="18"/>
      <c r="L33" s="18"/>
      <c r="M33" s="18"/>
      <c r="N33" s="18"/>
      <c r="O33" s="18"/>
      <c r="P33" s="18">
        <f>SUM(tblMontly[[#This Row],[ 一月]:[ 十二月]])</f>
        <v>6000</v>
      </c>
    </row>
    <row r="34" spans="2:16" ht="16.5" customHeight="1">
      <c r="B34" s="17" t="s">
        <v>78</v>
      </c>
      <c r="C34" s="17" t="s">
        <v>40</v>
      </c>
      <c r="D34" s="18">
        <v>250</v>
      </c>
      <c r="E34" s="18">
        <v>750</v>
      </c>
      <c r="F34" s="18">
        <v>500</v>
      </c>
      <c r="G34" s="18">
        <v>250</v>
      </c>
      <c r="H34" s="18">
        <v>750</v>
      </c>
      <c r="I34" s="18">
        <v>500</v>
      </c>
      <c r="J34" s="18"/>
      <c r="K34" s="18"/>
      <c r="L34" s="18"/>
      <c r="M34" s="18"/>
      <c r="N34" s="18"/>
      <c r="O34" s="18"/>
      <c r="P34" s="18">
        <f>SUM(tblMontly[[#This Row],[ 一月]:[ 十二月]])</f>
        <v>3000</v>
      </c>
    </row>
    <row r="35" spans="2:16" ht="16.5" customHeight="1">
      <c r="B35" s="17" t="s">
        <v>78</v>
      </c>
      <c r="C35" s="17" t="s">
        <v>41</v>
      </c>
      <c r="D35" s="18">
        <v>0</v>
      </c>
      <c r="E35" s="18">
        <v>0</v>
      </c>
      <c r="F35" s="18">
        <v>10000</v>
      </c>
      <c r="G35" s="18">
        <v>0</v>
      </c>
      <c r="H35" s="18">
        <v>0</v>
      </c>
      <c r="I35" s="18">
        <v>10000</v>
      </c>
      <c r="J35" s="18"/>
      <c r="K35" s="18"/>
      <c r="L35" s="18"/>
      <c r="M35" s="18"/>
      <c r="N35" s="18"/>
      <c r="O35" s="18"/>
      <c r="P35" s="18">
        <f>SUM(tblMontly[[#This Row],[ 一月]:[ 十二月]])</f>
        <v>20000</v>
      </c>
    </row>
    <row r="36" spans="2:16" ht="16.5" customHeight="1">
      <c r="B36" s="17" t="s">
        <v>78</v>
      </c>
      <c r="C36" s="17" t="s">
        <v>42</v>
      </c>
      <c r="D36" s="18">
        <v>500</v>
      </c>
      <c r="E36" s="18">
        <v>1500</v>
      </c>
      <c r="F36" s="18">
        <v>1000</v>
      </c>
      <c r="G36" s="18">
        <v>500</v>
      </c>
      <c r="H36" s="18">
        <v>1500</v>
      </c>
      <c r="I36" s="18">
        <v>1000</v>
      </c>
      <c r="J36" s="18"/>
      <c r="K36" s="18"/>
      <c r="L36" s="18"/>
      <c r="M36" s="18"/>
      <c r="N36" s="18"/>
      <c r="O36" s="18"/>
      <c r="P36" s="18">
        <f>SUM(tblMontly[[#This Row],[ 一月]:[ 十二月]])</f>
        <v>6000</v>
      </c>
    </row>
    <row r="37" spans="2:16" ht="16.5" customHeight="1">
      <c r="B37" s="17" t="s">
        <v>78</v>
      </c>
      <c r="C37" s="17" t="s">
        <v>43</v>
      </c>
      <c r="D37" s="18">
        <v>150</v>
      </c>
      <c r="E37" s="18">
        <v>250</v>
      </c>
      <c r="F37" s="18">
        <v>350</v>
      </c>
      <c r="G37" s="18">
        <v>150</v>
      </c>
      <c r="H37" s="18">
        <v>250</v>
      </c>
      <c r="I37" s="18">
        <v>350</v>
      </c>
      <c r="J37" s="18"/>
      <c r="K37" s="18"/>
      <c r="L37" s="18"/>
      <c r="M37" s="18"/>
      <c r="N37" s="18"/>
      <c r="O37" s="18"/>
      <c r="P37" s="18">
        <f>SUM(tblMontly[[#This Row],[ 一月]:[ 十二月]])</f>
        <v>1500</v>
      </c>
    </row>
    <row r="38" spans="2:16" ht="16.5" customHeight="1">
      <c r="B38" s="17" t="s">
        <v>78</v>
      </c>
      <c r="C38" s="17" t="s">
        <v>44</v>
      </c>
      <c r="D38" s="18">
        <v>1000</v>
      </c>
      <c r="E38" s="18">
        <v>2000</v>
      </c>
      <c r="F38" s="18">
        <v>1500</v>
      </c>
      <c r="G38" s="18">
        <v>1750</v>
      </c>
      <c r="H38" s="18">
        <v>1500</v>
      </c>
      <c r="I38" s="18">
        <v>1750</v>
      </c>
      <c r="J38" s="18"/>
      <c r="K38" s="18"/>
      <c r="L38" s="18"/>
      <c r="M38" s="18"/>
      <c r="N38" s="18"/>
      <c r="O38" s="18"/>
      <c r="P38" s="18">
        <f>SUM(tblMontly[[#This Row],[ 一月]:[ 十二月]])</f>
        <v>9500</v>
      </c>
    </row>
    <row r="39" spans="2:16" ht="16.5" customHeight="1">
      <c r="B39" s="17" t="s">
        <v>78</v>
      </c>
      <c r="C39" s="17" t="s">
        <v>45</v>
      </c>
      <c r="D39" s="18">
        <v>500</v>
      </c>
      <c r="E39" s="18">
        <v>500</v>
      </c>
      <c r="F39" s="18">
        <v>500</v>
      </c>
      <c r="G39" s="18">
        <v>500</v>
      </c>
      <c r="H39" s="18">
        <v>500</v>
      </c>
      <c r="I39" s="18">
        <v>500</v>
      </c>
      <c r="J39" s="18"/>
      <c r="K39" s="18"/>
      <c r="L39" s="18"/>
      <c r="M39" s="18"/>
      <c r="N39" s="18"/>
      <c r="O39" s="18"/>
      <c r="P39" s="18">
        <f>SUM(tblMontly[[#This Row],[ 一月]:[ 十二月]])</f>
        <v>3000</v>
      </c>
    </row>
    <row r="40" spans="2:16" ht="16.5" customHeight="1">
      <c r="B40" s="17" t="s">
        <v>78</v>
      </c>
      <c r="C40" s="17" t="s">
        <v>46</v>
      </c>
      <c r="D40" s="18">
        <v>250</v>
      </c>
      <c r="E40" s="18">
        <v>250</v>
      </c>
      <c r="F40" s="18">
        <v>250</v>
      </c>
      <c r="G40" s="18">
        <v>250</v>
      </c>
      <c r="H40" s="18">
        <v>250</v>
      </c>
      <c r="I40" s="18">
        <v>250</v>
      </c>
      <c r="J40" s="18"/>
      <c r="K40" s="18"/>
      <c r="L40" s="18"/>
      <c r="M40" s="18"/>
      <c r="N40" s="18"/>
      <c r="O40" s="18"/>
      <c r="P40" s="18">
        <f>SUM(tblMontly[[#This Row],[ 一月]:[ 十二月]])</f>
        <v>1500</v>
      </c>
    </row>
    <row r="41" spans="2:16" ht="16.5" customHeight="1">
      <c r="B41" s="17" t="s">
        <v>78</v>
      </c>
      <c r="C41" s="17" t="s">
        <v>47</v>
      </c>
      <c r="D41" s="18">
        <v>4000</v>
      </c>
      <c r="E41" s="18">
        <v>4000</v>
      </c>
      <c r="F41" s="18">
        <v>4000</v>
      </c>
      <c r="G41" s="18">
        <v>4000</v>
      </c>
      <c r="H41" s="18">
        <v>4000</v>
      </c>
      <c r="I41" s="18">
        <v>4000</v>
      </c>
      <c r="J41" s="18"/>
      <c r="K41" s="18"/>
      <c r="L41" s="18"/>
      <c r="M41" s="18"/>
      <c r="N41" s="18"/>
      <c r="O41" s="18"/>
      <c r="P41" s="18">
        <f>SUM(tblMontly[[#This Row],[ 一月]:[ 十二月]])</f>
        <v>24000</v>
      </c>
    </row>
    <row r="42" spans="2:16" ht="16.5" customHeight="1">
      <c r="B42" s="17" t="s">
        <v>78</v>
      </c>
      <c r="C42" s="17" t="s">
        <v>17</v>
      </c>
      <c r="D42" s="18">
        <v>0</v>
      </c>
      <c r="E42" s="18">
        <v>0</v>
      </c>
      <c r="F42" s="18">
        <v>0</v>
      </c>
      <c r="G42" s="18">
        <v>0</v>
      </c>
      <c r="H42" s="18">
        <v>0</v>
      </c>
      <c r="I42" s="18">
        <v>0</v>
      </c>
      <c r="J42" s="18"/>
      <c r="K42" s="18"/>
      <c r="L42" s="18"/>
      <c r="M42" s="18"/>
      <c r="N42" s="18"/>
      <c r="O42" s="18"/>
      <c r="P42" s="18">
        <f>SUM(tblMontly[[#This Row],[ 一月]:[ 十二月]])</f>
        <v>0</v>
      </c>
    </row>
    <row r="43" spans="2:16" ht="16.5" customHeight="1">
      <c r="B43" s="17" t="s">
        <v>78</v>
      </c>
      <c r="C43" s="17" t="s">
        <v>18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v>0</v>
      </c>
      <c r="J43" s="18"/>
      <c r="K43" s="18"/>
      <c r="L43" s="18"/>
      <c r="M43" s="18"/>
      <c r="N43" s="18"/>
      <c r="O43" s="18"/>
      <c r="P43" s="18">
        <f>SUM(tblMontly[[#This Row],[ 一月]:[ 十二月]])</f>
        <v>0</v>
      </c>
    </row>
    <row r="44" spans="2:16" ht="16.5" customHeight="1">
      <c r="B44" s="17" t="s">
        <v>79</v>
      </c>
      <c r="C44" s="17" t="s">
        <v>49</v>
      </c>
      <c r="D44" s="18">
        <v>4166.6666670000004</v>
      </c>
      <c r="E44" s="18">
        <v>4166.6666670000004</v>
      </c>
      <c r="F44" s="18">
        <v>4166.6666670000004</v>
      </c>
      <c r="G44" s="18">
        <v>4166.6666670000004</v>
      </c>
      <c r="H44" s="18">
        <v>4166.6666670000004</v>
      </c>
      <c r="I44" s="18">
        <v>4166.6666670000004</v>
      </c>
      <c r="J44" s="18"/>
      <c r="K44" s="18"/>
      <c r="L44" s="18"/>
      <c r="M44" s="18"/>
      <c r="N44" s="18"/>
      <c r="O44" s="18"/>
      <c r="P44" s="18">
        <f>SUM(tblMontly[[#This Row],[ 一月]:[ 十二月]])</f>
        <v>25000.000002000004</v>
      </c>
    </row>
    <row r="45" spans="2:16" ht="16.5" customHeight="1">
      <c r="B45" s="17" t="s">
        <v>79</v>
      </c>
      <c r="C45" s="17" t="s">
        <v>50</v>
      </c>
      <c r="D45" s="18">
        <v>10000</v>
      </c>
      <c r="E45" s="18">
        <v>10000</v>
      </c>
      <c r="F45" s="18">
        <v>10000</v>
      </c>
      <c r="G45" s="18">
        <v>10000</v>
      </c>
      <c r="H45" s="18">
        <v>10000</v>
      </c>
      <c r="I45" s="18">
        <v>10000</v>
      </c>
      <c r="J45" s="18"/>
      <c r="K45" s="18"/>
      <c r="L45" s="18"/>
      <c r="M45" s="18"/>
      <c r="N45" s="18"/>
      <c r="O45" s="18"/>
      <c r="P45" s="18">
        <f>SUM(tblMontly[[#This Row],[ 一月]:[ 十二月]])</f>
        <v>60000</v>
      </c>
    </row>
    <row r="46" spans="2:16" ht="16.5" customHeight="1">
      <c r="B46" s="17" t="s">
        <v>79</v>
      </c>
      <c r="C46" s="17" t="s">
        <v>59</v>
      </c>
      <c r="D46" s="18">
        <v>5000</v>
      </c>
      <c r="E46" s="18">
        <v>5000</v>
      </c>
      <c r="F46" s="18">
        <v>5000</v>
      </c>
      <c r="G46" s="18">
        <v>5000</v>
      </c>
      <c r="H46" s="18">
        <v>5000</v>
      </c>
      <c r="I46" s="18">
        <v>5000</v>
      </c>
      <c r="J46" s="18"/>
      <c r="K46" s="18"/>
      <c r="L46" s="18"/>
      <c r="M46" s="18"/>
      <c r="N46" s="18"/>
      <c r="O46" s="18"/>
      <c r="P46" s="18">
        <f>SUM(tblMontly[[#This Row],[ 一月]:[ 十二月]])</f>
        <v>30000</v>
      </c>
    </row>
    <row r="47" spans="2:16" ht="16.5" customHeight="1">
      <c r="B47" s="17" t="s">
        <v>79</v>
      </c>
      <c r="C47" s="17" t="s">
        <v>17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/>
      <c r="K47" s="18"/>
      <c r="L47" s="18"/>
      <c r="M47" s="18"/>
      <c r="N47" s="18"/>
      <c r="O47" s="18"/>
      <c r="P47" s="18">
        <f>SUM(tblMontly[[#This Row],[ 一月]:[ 十二月]])</f>
        <v>0</v>
      </c>
    </row>
    <row r="48" spans="2:16" ht="16.5" customHeight="1">
      <c r="B48" s="17" t="s">
        <v>79</v>
      </c>
      <c r="C48" s="17" t="s">
        <v>18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/>
      <c r="K48" s="18"/>
      <c r="L48" s="18"/>
      <c r="M48" s="18"/>
      <c r="N48" s="18"/>
      <c r="O48" s="18"/>
      <c r="P48" s="18">
        <f>SUM(tblMontly[[#This Row],[ 一月]:[ 十二月]])</f>
        <v>0</v>
      </c>
    </row>
    <row r="49" spans="2:16" ht="16.5" customHeight="1">
      <c r="B49" s="17" t="s">
        <v>54</v>
      </c>
      <c r="C49" s="19"/>
      <c r="D49" s="18">
        <f>SUMIF(tblMontly[[ 类型]],"收入",tblMontly[[ 一月]])-SUMIF(tblMontly[[ 类型]],"&lt;&gt;收入",tblMontly[[ 一月]])</f>
        <v>36925.000000300002</v>
      </c>
      <c r="E49" s="18">
        <f>SUMIF(tblMontly[[ 类型]],"收入",tblMontly[[ 二月]])-SUMIF(tblMontly[[ 类型]],"&lt;&gt;收入",tblMontly[[ 二月]])</f>
        <v>32475.000000300002</v>
      </c>
      <c r="F49" s="18">
        <f>SUMIF(tblMontly[[ 类型]],"收入",tblMontly[[ 三月]])-SUMIF(tblMontly[[ 类型]],"&lt;&gt;收入",tblMontly[[ 三月]])</f>
        <v>25225.000000300002</v>
      </c>
      <c r="G49" s="18">
        <f>SUMIF(tblMontly[[ 类型]],"收入",tblMontly[[ 四月]])-SUMIF(tblMontly[[ 类型]],"&lt;&gt;收入",tblMontly[[ 四月]])</f>
        <v>34275.000000300002</v>
      </c>
      <c r="H49" s="18">
        <f>SUMIF(tblMontly[[ 类型]],"收入",tblMontly[[ 五月]])-SUMIF(tblMontly[[ 类型]],"&lt;&gt;收入",tblMontly[[ 五月]])</f>
        <v>28875.000000300002</v>
      </c>
      <c r="I49" s="18">
        <f>SUMIF(tblMontly[[ 类型]],"收入",tblMontly[[ 六月]])-SUMIF(tblMontly[[ 类型]],"&lt;&gt;收入",tblMontly[[ 六月]])</f>
        <v>26025.000000300002</v>
      </c>
      <c r="J49" s="18">
        <f>SUMIF(tblMontly[[ 类型]],"收入",tblMontly[[ 七月]])-SUMIF(tblMontly[[ 类型]],"&lt;&gt;收入",tblMontly[[ 七月]])</f>
        <v>0</v>
      </c>
      <c r="K49" s="18">
        <f>SUMIF(tblMontly[[ 类型]],"收入",tblMontly[[ 八月]])-SUMIF(tblMontly[[ 类型]],"&lt;&gt;收入",tblMontly[[ 八月]])</f>
        <v>0</v>
      </c>
      <c r="L49" s="18">
        <f>SUMIF(tblMontly[[ 类型]],"收入",tblMontly[[ 九月]])-SUMIF(tblMontly[[ 类型]],"&lt;&gt;收入",tblMontly[[ 九月]])</f>
        <v>0</v>
      </c>
      <c r="M49" s="18">
        <f>SUMIF(tblMontly[[ 类型]],"收入",tblMontly[[ 十月]])-SUMIF(tblMontly[[ 类型]],"&lt;&gt;收入",tblMontly[[ 十月]])</f>
        <v>0</v>
      </c>
      <c r="N49" s="18">
        <f>SUMIF(tblMontly[[ 类型]],"收入",tblMontly[[ 十一月]])-SUMIF(tblMontly[[ 类型]],"&lt;&gt;收入",tblMontly[[ 十一月]])</f>
        <v>0</v>
      </c>
      <c r="O49" s="18">
        <f>SUMIF(tblMontly[[ 类型]],"收入",tblMontly[[ 十二月]])-SUMIF(tblMontly[[ 类型]],"&lt;&gt;收入",tblMontly[[ 十二月]])</f>
        <v>0</v>
      </c>
      <c r="P49" s="18">
        <f>SUMIF(tblMontly[[ 类型]],"收入",tblMontly[[ 总计]])-SUMIF(tblMontly[[ 类型]],"&lt;&gt;收入",tblMontly[[ 总计]])</f>
        <v>183800.00000180001</v>
      </c>
    </row>
    <row r="50" spans="2:16" ht="16.5" customHeight="1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</row>
  </sheetData>
  <mergeCells count="3">
    <mergeCell ref="B50:P50"/>
    <mergeCell ref="B2:F2"/>
    <mergeCell ref="H2:Q2"/>
  </mergeCells>
  <phoneticPr fontId="8" type="noConversion"/>
  <conditionalFormatting sqref="B6:P48">
    <cfRule type="expression" dxfId="70" priority="1">
      <formula>(MOD(ROW(),2)&lt;&gt;0)*($B6="收入")</formula>
    </cfRule>
    <cfRule type="expression" dxfId="69" priority="2">
      <formula>(MOD(ROW(),2)=0)*($B6="收入")</formula>
    </cfRule>
  </conditionalFormatting>
  <dataValidations count="1">
    <dataValidation type="list" allowBlank="1" showInputMessage="1" showErrorMessage="1" sqref="B6:B48">
      <formula1>"收入,支出,可支配,储蓄"</formula1>
    </dataValidation>
  </dataValidations>
  <pageMargins left="0.25" right="0.25" top="0.75" bottom="0.75" header="0.3" footer="0.3"/>
  <pageSetup fitToHeight="0" orientation="landscape" r:id="rId1"/>
  <rowBreaks count="1" manualBreakCount="1">
    <brk id="49" max="16383" man="1"/>
  </rowBreaks>
  <drawing r:id="rId2"/>
  <tableParts count="1">
    <tablePart r:id="rId3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>
          <x14:colorSeries theme="3" tint="0.24997711111789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每月现金流量!D6:O6</xm:f>
              <xm:sqref>Q6</xm:sqref>
            </x14:sparkline>
            <x14:sparkline>
              <xm:f>每月现金流量!D7:O7</xm:f>
              <xm:sqref>Q7</xm:sqref>
            </x14:sparkline>
            <x14:sparkline>
              <xm:f>每月现金流量!D8:O8</xm:f>
              <xm:sqref>Q8</xm:sqref>
            </x14:sparkline>
            <x14:sparkline>
              <xm:f>每月现金流量!D9:O9</xm:f>
              <xm:sqref>Q9</xm:sqref>
            </x14:sparkline>
            <x14:sparkline>
              <xm:f>每月现金流量!D10:O10</xm:f>
              <xm:sqref>Q10</xm:sqref>
            </x14:sparkline>
            <x14:sparkline>
              <xm:f>每月现金流量!D11:O11</xm:f>
              <xm:sqref>Q11</xm:sqref>
            </x14:sparkline>
            <x14:sparkline>
              <xm:f>每月现金流量!D12:O12</xm:f>
              <xm:sqref>Q12</xm:sqref>
            </x14:sparkline>
            <x14:sparkline>
              <xm:f>每月现金流量!D13:O13</xm:f>
              <xm:sqref>Q13</xm:sqref>
            </x14:sparkline>
            <x14:sparkline>
              <xm:f>每月现金流量!D14:O14</xm:f>
              <xm:sqref>Q14</xm:sqref>
            </x14:sparkline>
            <x14:sparkline>
              <xm:f>每月现金流量!D15:O15</xm:f>
              <xm:sqref>Q15</xm:sqref>
            </x14:sparkline>
            <x14:sparkline>
              <xm:f>每月现金流量!D16:O16</xm:f>
              <xm:sqref>Q16</xm:sqref>
            </x14:sparkline>
            <x14:sparkline>
              <xm:f>每月现金流量!D17:O17</xm:f>
              <xm:sqref>Q17</xm:sqref>
            </x14:sparkline>
            <x14:sparkline>
              <xm:f>每月现金流量!D18:O18</xm:f>
              <xm:sqref>Q18</xm:sqref>
            </x14:sparkline>
            <x14:sparkline>
              <xm:f>每月现金流量!D19:O19</xm:f>
              <xm:sqref>Q19</xm:sqref>
            </x14:sparkline>
            <x14:sparkline>
              <xm:f>每月现金流量!D20:O20</xm:f>
              <xm:sqref>Q20</xm:sqref>
            </x14:sparkline>
            <x14:sparkline>
              <xm:f>每月现金流量!D21:O21</xm:f>
              <xm:sqref>Q21</xm:sqref>
            </x14:sparkline>
            <x14:sparkline>
              <xm:f>每月现金流量!D22:O22</xm:f>
              <xm:sqref>Q22</xm:sqref>
            </x14:sparkline>
            <x14:sparkline>
              <xm:f>每月现金流量!D23:O23</xm:f>
              <xm:sqref>Q23</xm:sqref>
            </x14:sparkline>
            <x14:sparkline>
              <xm:f>每月现金流量!D24:O24</xm:f>
              <xm:sqref>Q24</xm:sqref>
            </x14:sparkline>
            <x14:sparkline>
              <xm:f>每月现金流量!D25:O25</xm:f>
              <xm:sqref>Q25</xm:sqref>
            </x14:sparkline>
            <x14:sparkline>
              <xm:f>每月现金流量!D26:O26</xm:f>
              <xm:sqref>Q26</xm:sqref>
            </x14:sparkline>
            <x14:sparkline>
              <xm:f>每月现金流量!D27:O27</xm:f>
              <xm:sqref>Q27</xm:sqref>
            </x14:sparkline>
            <x14:sparkline>
              <xm:f>每月现金流量!D28:O28</xm:f>
              <xm:sqref>Q28</xm:sqref>
            </x14:sparkline>
            <x14:sparkline>
              <xm:f>每月现金流量!D29:O29</xm:f>
              <xm:sqref>Q29</xm:sqref>
            </x14:sparkline>
            <x14:sparkline>
              <xm:f>每月现金流量!D30:O30</xm:f>
              <xm:sqref>Q30</xm:sqref>
            </x14:sparkline>
            <x14:sparkline>
              <xm:f>每月现金流量!D31:O31</xm:f>
              <xm:sqref>Q31</xm:sqref>
            </x14:sparkline>
            <x14:sparkline>
              <xm:f>每月现金流量!D32:O32</xm:f>
              <xm:sqref>Q32</xm:sqref>
            </x14:sparkline>
            <x14:sparkline>
              <xm:f>每月现金流量!D33:O33</xm:f>
              <xm:sqref>Q33</xm:sqref>
            </x14:sparkline>
            <x14:sparkline>
              <xm:f>每月现金流量!D34:O34</xm:f>
              <xm:sqref>Q34</xm:sqref>
            </x14:sparkline>
            <x14:sparkline>
              <xm:f>每月现金流量!D35:O35</xm:f>
              <xm:sqref>Q35</xm:sqref>
            </x14:sparkline>
            <x14:sparkline>
              <xm:f>每月现金流量!D36:O36</xm:f>
              <xm:sqref>Q36</xm:sqref>
            </x14:sparkline>
            <x14:sparkline>
              <xm:f>每月现金流量!D37:O37</xm:f>
              <xm:sqref>Q37</xm:sqref>
            </x14:sparkline>
            <x14:sparkline>
              <xm:f>每月现金流量!D38:O38</xm:f>
              <xm:sqref>Q38</xm:sqref>
            </x14:sparkline>
            <x14:sparkline>
              <xm:f>每月现金流量!D39:O39</xm:f>
              <xm:sqref>Q39</xm:sqref>
            </x14:sparkline>
            <x14:sparkline>
              <xm:f>每月现金流量!D40:O40</xm:f>
              <xm:sqref>Q40</xm:sqref>
            </x14:sparkline>
            <x14:sparkline>
              <xm:f>每月现金流量!D41:O41</xm:f>
              <xm:sqref>Q41</xm:sqref>
            </x14:sparkline>
            <x14:sparkline>
              <xm:f>每月现金流量!D42:O42</xm:f>
              <xm:sqref>Q42</xm:sqref>
            </x14:sparkline>
            <x14:sparkline>
              <xm:f>每月现金流量!D43:O43</xm:f>
              <xm:sqref>Q43</xm:sqref>
            </x14:sparkline>
            <x14:sparkline>
              <xm:f>每月现金流量!D44:O44</xm:f>
              <xm:sqref>Q44</xm:sqref>
            </x14:sparkline>
            <x14:sparkline>
              <xm:f>每月现金流量!D45:O45</xm:f>
              <xm:sqref>Q45</xm:sqref>
            </x14:sparkline>
            <x14:sparkline>
              <xm:f>每月现金流量!D46:O46</xm:f>
              <xm:sqref>Q46</xm:sqref>
            </x14:sparkline>
            <x14:sparkline>
              <xm:f>每月现金流量!D47:O47</xm:f>
              <xm:sqref>Q47</xm:sqref>
            </x14:sparkline>
            <x14:sparkline>
              <xm:f>每月现金流量!D48:O48</xm:f>
              <xm:sqref>Q48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  <pageSetUpPr autoPageBreaks="0" fitToPage="1"/>
  </sheetPr>
  <dimension ref="B1:Q56"/>
  <sheetViews>
    <sheetView showGridLines="0" zoomScaleNormal="100" workbookViewId="0"/>
  </sheetViews>
  <sheetFormatPr defaultRowHeight="16.5" customHeight="1"/>
  <cols>
    <col min="1" max="1" width="2.7109375" style="3" customWidth="1"/>
    <col min="2" max="2" width="15.140625" style="3" customWidth="1"/>
    <col min="3" max="3" width="27.42578125" style="3" customWidth="1"/>
    <col min="4" max="5" width="15" style="3" customWidth="1"/>
    <col min="6" max="6" width="15.140625" style="3" customWidth="1"/>
    <col min="7" max="7" width="7" style="3" customWidth="1"/>
    <col min="8" max="26" width="26.7109375" style="3" bestFit="1" customWidth="1"/>
    <col min="27" max="27" width="11.28515625" style="3" customWidth="1"/>
    <col min="28" max="30" width="19.28515625" style="3" bestFit="1" customWidth="1"/>
    <col min="31" max="31" width="12.42578125" style="3" bestFit="1" customWidth="1"/>
    <col min="32" max="36" width="26.7109375" style="3" bestFit="1" customWidth="1"/>
    <col min="37" max="37" width="12.42578125" style="3" bestFit="1" customWidth="1"/>
    <col min="38" max="38" width="11.28515625" style="3" bestFit="1" customWidth="1"/>
    <col min="39" max="16384" width="9.140625" style="3"/>
  </cols>
  <sheetData>
    <row r="1" spans="2:17" s="1" customFormat="1" ht="39" customHeight="1">
      <c r="B1" s="14" t="s">
        <v>82</v>
      </c>
    </row>
    <row r="2" spans="2:17" ht="31.5" customHeight="1">
      <c r="B2" s="56">
        <f>DailyCashFlow</f>
        <v>5778.4000000000005</v>
      </c>
      <c r="C2" s="56"/>
      <c r="D2" s="56"/>
      <c r="E2" s="56"/>
      <c r="F2" s="56"/>
      <c r="H2" s="55" t="s">
        <v>129</v>
      </c>
      <c r="I2" s="55"/>
      <c r="J2" s="55"/>
      <c r="K2" s="55"/>
      <c r="L2" s="55"/>
      <c r="M2" s="55"/>
      <c r="N2" s="55"/>
      <c r="O2" s="55"/>
      <c r="P2" s="55"/>
      <c r="Q2" s="55"/>
    </row>
    <row r="4" spans="2:17" ht="25.5" customHeight="1" thickBot="1">
      <c r="B4" s="35" t="s">
        <v>83</v>
      </c>
      <c r="C4" s="36"/>
      <c r="D4" s="36"/>
      <c r="E4" s="36"/>
      <c r="F4" s="36"/>
    </row>
    <row r="5" spans="2:17" ht="16.5" customHeight="1">
      <c r="B5" s="37" t="s">
        <v>54</v>
      </c>
      <c r="C5" s="38" t="s">
        <v>0</v>
      </c>
      <c r="D5" s="39" t="s">
        <v>84</v>
      </c>
      <c r="E5" s="39" t="s">
        <v>85</v>
      </c>
      <c r="F5" s="39" t="s">
        <v>116</v>
      </c>
    </row>
    <row r="6" spans="2:17" ht="16.5" customHeight="1">
      <c r="B6" s="37" t="s">
        <v>76</v>
      </c>
      <c r="C6" s="38"/>
      <c r="D6" s="40">
        <f>SUMIF(tblDaily[[ 类型]],tblDailyTotals[[#This Row],[ 总计]],tblDaily[每天])</f>
        <v>3424.7000000000003</v>
      </c>
      <c r="E6" s="40">
        <f>SUMIF(tblDaily[[ 类型]],tblDailyTotals[[#This Row],[ 总计]],tblDaily[每月])</f>
        <v>104167.95833333333</v>
      </c>
      <c r="F6" s="40">
        <f>SUMIF(tblDaily[[ 类型]],tblDailyTotals[[#This Row],[ 总计]],tblDaily[年度])</f>
        <v>1250015.5</v>
      </c>
    </row>
    <row r="7" spans="2:17" ht="16.5" customHeight="1">
      <c r="B7" s="37" t="s">
        <v>112</v>
      </c>
      <c r="C7" s="38"/>
      <c r="D7" s="40">
        <f>SUMIF(tblDaily[[ 类型]],tblDailyTotals[[#This Row],[ 总计]],tblDaily[每天])</f>
        <v>1360.6000000000004</v>
      </c>
      <c r="E7" s="40">
        <f>SUMIF(tblDaily[[ 类型]],tblDailyTotals[[#This Row],[ 总计]],tblDaily[每月])</f>
        <v>41384.916666666672</v>
      </c>
      <c r="F7" s="40">
        <f>SUMIF(tblDaily[[ 类型]],tblDailyTotals[[#This Row],[ 总计]],tblDaily[年度])</f>
        <v>496619</v>
      </c>
    </row>
    <row r="8" spans="2:17" ht="16.5" customHeight="1">
      <c r="B8" s="37" t="s">
        <v>113</v>
      </c>
      <c r="C8" s="38"/>
      <c r="D8" s="40">
        <f>SUMIF(tblDaily[[ 类型]],tblDailyTotals[[#This Row],[ 总计]],tblDaily[每天])</f>
        <v>362.9</v>
      </c>
      <c r="E8" s="40">
        <f>SUMIF(tblDaily[[ 类型]],tblDailyTotals[[#This Row],[ 总计]],tblDaily[每月])</f>
        <v>11038.208333333332</v>
      </c>
      <c r="F8" s="40">
        <f>SUMIF(tblDaily[[ 类型]],tblDailyTotals[[#This Row],[ 总计]],tblDaily[年度])</f>
        <v>132458.5</v>
      </c>
    </row>
    <row r="9" spans="2:17" ht="16.5" customHeight="1">
      <c r="B9" s="37" t="s">
        <v>114</v>
      </c>
      <c r="C9" s="38"/>
      <c r="D9" s="40">
        <f>SUMIF(tblDaily[[ 类型]],tblDailyTotals[[#This Row],[ 总计]],tblDaily[每天])</f>
        <v>630.20000000000005</v>
      </c>
      <c r="E9" s="40">
        <f>SUMIF(tblDaily[[ 类型]],tblDailyTotals[[#This Row],[ 总计]],tblDaily[每月])</f>
        <v>19168.583333333332</v>
      </c>
      <c r="F9" s="40">
        <f>SUMIF(tblDaily[[ 类型]],tblDailyTotals[[#This Row],[ 总计]],tblDaily[年度])</f>
        <v>230023</v>
      </c>
    </row>
    <row r="10" spans="2:17" ht="16.5" customHeight="1">
      <c r="B10" s="57"/>
      <c r="C10" s="57"/>
      <c r="D10" s="57"/>
      <c r="E10" s="57"/>
      <c r="F10" s="57"/>
    </row>
    <row r="12" spans="2:17" ht="16.5" customHeight="1">
      <c r="B12" s="41" t="s">
        <v>60</v>
      </c>
      <c r="C12" s="42" t="s">
        <v>86</v>
      </c>
      <c r="D12" s="42" t="s">
        <v>84</v>
      </c>
      <c r="E12" s="42" t="s">
        <v>85</v>
      </c>
      <c r="F12" s="42" t="s">
        <v>87</v>
      </c>
    </row>
    <row r="13" spans="2:17" ht="16.5" customHeight="1">
      <c r="B13" s="43" t="s">
        <v>56</v>
      </c>
      <c r="C13" s="44" t="s">
        <v>88</v>
      </c>
      <c r="D13" s="45">
        <v>2465.8000000000002</v>
      </c>
      <c r="E13" s="45">
        <f>tblDaily[[#This Row],[年度]]/12</f>
        <v>75001.416666666672</v>
      </c>
      <c r="F13" s="45">
        <f>tblDaily[[#This Row],[每天]]*365</f>
        <v>900017.00000000012</v>
      </c>
    </row>
    <row r="14" spans="2:17" ht="16.5" customHeight="1">
      <c r="B14" s="43" t="s">
        <v>56</v>
      </c>
      <c r="C14" s="44" t="s">
        <v>117</v>
      </c>
      <c r="D14" s="45">
        <v>137</v>
      </c>
      <c r="E14" s="45">
        <f>tblDaily[[#This Row],[年度]]/12</f>
        <v>4167.083333333333</v>
      </c>
      <c r="F14" s="45">
        <f>tblDaily[[#This Row],[每天]]*365</f>
        <v>50005</v>
      </c>
    </row>
    <row r="15" spans="2:17" ht="16.5" customHeight="1">
      <c r="B15" s="43" t="s">
        <v>56</v>
      </c>
      <c r="C15" s="44" t="s">
        <v>118</v>
      </c>
      <c r="D15" s="45">
        <v>821.9</v>
      </c>
      <c r="E15" s="45">
        <f>tblDaily[[#This Row],[年度]]/12</f>
        <v>24999.458333333332</v>
      </c>
      <c r="F15" s="45">
        <f>tblDaily[[#This Row],[每天]]*365</f>
        <v>299993.5</v>
      </c>
    </row>
    <row r="16" spans="2:17" ht="16.5" customHeight="1">
      <c r="B16" s="43" t="s">
        <v>56</v>
      </c>
      <c r="C16" s="44" t="s">
        <v>119</v>
      </c>
      <c r="D16" s="45">
        <v>0</v>
      </c>
      <c r="E16" s="45">
        <f>tblDaily[[#This Row],[年度]]/12</f>
        <v>0</v>
      </c>
      <c r="F16" s="45">
        <f>tblDaily[[#This Row],[每天]]*365</f>
        <v>0</v>
      </c>
    </row>
    <row r="17" spans="2:6" ht="16.5" customHeight="1">
      <c r="B17" s="43" t="s">
        <v>56</v>
      </c>
      <c r="C17" s="44" t="s">
        <v>120</v>
      </c>
      <c r="D17" s="45">
        <v>0</v>
      </c>
      <c r="E17" s="45">
        <f>tblDaily[[#This Row],[年度]]/12</f>
        <v>0</v>
      </c>
      <c r="F17" s="45">
        <f>tblDaily[[#This Row],[每天]]*365</f>
        <v>0</v>
      </c>
    </row>
    <row r="18" spans="2:6" ht="16.5" customHeight="1">
      <c r="B18" s="43" t="s">
        <v>56</v>
      </c>
      <c r="C18" s="44" t="s">
        <v>121</v>
      </c>
      <c r="D18" s="45">
        <v>0</v>
      </c>
      <c r="E18" s="45">
        <f>tblDaily[[#This Row],[年度]]/12</f>
        <v>0</v>
      </c>
      <c r="F18" s="45">
        <f>tblDaily[[#This Row],[每天]]*365</f>
        <v>0</v>
      </c>
    </row>
    <row r="19" spans="2:6" ht="16.5" customHeight="1">
      <c r="B19" s="43" t="s">
        <v>77</v>
      </c>
      <c r="C19" s="44" t="s">
        <v>122</v>
      </c>
      <c r="D19" s="45">
        <v>411</v>
      </c>
      <c r="E19" s="45">
        <f>tblDaily[[#This Row],[年度]]/12</f>
        <v>12501.25</v>
      </c>
      <c r="F19" s="45">
        <f>tblDaily[[#This Row],[每天]]*365</f>
        <v>150015</v>
      </c>
    </row>
    <row r="20" spans="2:6" ht="16.5" customHeight="1">
      <c r="B20" s="43" t="s">
        <v>77</v>
      </c>
      <c r="C20" s="44" t="s">
        <v>89</v>
      </c>
      <c r="D20" s="45">
        <v>68.5</v>
      </c>
      <c r="E20" s="45">
        <f>tblDaily[[#This Row],[年度]]/12</f>
        <v>2083.5416666666665</v>
      </c>
      <c r="F20" s="45">
        <f>tblDaily[[#This Row],[每天]]*365</f>
        <v>25002.5</v>
      </c>
    </row>
    <row r="21" spans="2:6" ht="16.5" customHeight="1">
      <c r="B21" s="43" t="s">
        <v>77</v>
      </c>
      <c r="C21" s="44" t="s">
        <v>123</v>
      </c>
      <c r="D21" s="45">
        <v>5.5</v>
      </c>
      <c r="E21" s="45">
        <f>tblDaily[[#This Row],[年度]]/12</f>
        <v>167.29166666666666</v>
      </c>
      <c r="F21" s="45">
        <f>tblDaily[[#This Row],[每天]]*365</f>
        <v>2007.5</v>
      </c>
    </row>
    <row r="22" spans="2:6" ht="16.5" customHeight="1">
      <c r="B22" s="43" t="s">
        <v>77</v>
      </c>
      <c r="C22" s="44" t="s">
        <v>90</v>
      </c>
      <c r="D22" s="45">
        <v>109.6</v>
      </c>
      <c r="E22" s="45">
        <f>tblDaily[[#This Row],[年度]]/12</f>
        <v>3333.6666666666665</v>
      </c>
      <c r="F22" s="45">
        <f>tblDaily[[#This Row],[每天]]*365</f>
        <v>40004</v>
      </c>
    </row>
    <row r="23" spans="2:6" ht="16.5" customHeight="1">
      <c r="B23" s="43" t="s">
        <v>77</v>
      </c>
      <c r="C23" s="44" t="s">
        <v>124</v>
      </c>
      <c r="D23" s="45">
        <v>411</v>
      </c>
      <c r="E23" s="45">
        <f>tblDaily[[#This Row],[年度]]/12</f>
        <v>12501.25</v>
      </c>
      <c r="F23" s="45">
        <f>tblDaily[[#This Row],[每天]]*365</f>
        <v>150015</v>
      </c>
    </row>
    <row r="24" spans="2:6" ht="16.5" customHeight="1">
      <c r="B24" s="43" t="s">
        <v>77</v>
      </c>
      <c r="C24" s="44" t="s">
        <v>91</v>
      </c>
      <c r="D24" s="45">
        <v>6.8</v>
      </c>
      <c r="E24" s="45">
        <f>tblDaily[[#This Row],[年度]]/12</f>
        <v>206.83333333333334</v>
      </c>
      <c r="F24" s="45">
        <f>tblDaily[[#This Row],[每天]]*365</f>
        <v>2482</v>
      </c>
    </row>
    <row r="25" spans="2:6" ht="16.5" customHeight="1">
      <c r="B25" s="43" t="s">
        <v>77</v>
      </c>
      <c r="C25" s="44" t="s">
        <v>92</v>
      </c>
      <c r="D25" s="45">
        <v>32.9</v>
      </c>
      <c r="E25" s="45">
        <f>tblDaily[[#This Row],[年度]]/12</f>
        <v>1000.7083333333334</v>
      </c>
      <c r="F25" s="45">
        <f>tblDaily[[#This Row],[每天]]*365</f>
        <v>12008.5</v>
      </c>
    </row>
    <row r="26" spans="2:6" ht="16.5" customHeight="1">
      <c r="B26" s="43" t="s">
        <v>77</v>
      </c>
      <c r="C26" s="44" t="s">
        <v>93</v>
      </c>
      <c r="D26" s="45">
        <v>16.399999999999999</v>
      </c>
      <c r="E26" s="45">
        <f>tblDaily[[#This Row],[年度]]/12</f>
        <v>498.83333333333326</v>
      </c>
      <c r="F26" s="45">
        <f>tblDaily[[#This Row],[每天]]*365</f>
        <v>5985.9999999999991</v>
      </c>
    </row>
    <row r="27" spans="2:6" ht="16.5" customHeight="1">
      <c r="B27" s="43" t="s">
        <v>77</v>
      </c>
      <c r="C27" s="44" t="s">
        <v>94</v>
      </c>
      <c r="D27" s="45">
        <v>16.399999999999999</v>
      </c>
      <c r="E27" s="45">
        <f>tblDaily[[#This Row],[年度]]/12</f>
        <v>498.83333333333326</v>
      </c>
      <c r="F27" s="45">
        <f>tblDaily[[#This Row],[每天]]*365</f>
        <v>5985.9999999999991</v>
      </c>
    </row>
    <row r="28" spans="2:6" ht="16.5" customHeight="1">
      <c r="B28" s="43" t="s">
        <v>77</v>
      </c>
      <c r="C28" s="44" t="s">
        <v>95</v>
      </c>
      <c r="D28" s="45">
        <v>8.1999999999999993</v>
      </c>
      <c r="E28" s="45">
        <f>tblDaily[[#This Row],[年度]]/12</f>
        <v>249.41666666666663</v>
      </c>
      <c r="F28" s="45">
        <f>tblDaily[[#This Row],[每天]]*365</f>
        <v>2992.9999999999995</v>
      </c>
    </row>
    <row r="29" spans="2:6" ht="16.5" customHeight="1">
      <c r="B29" s="43" t="s">
        <v>77</v>
      </c>
      <c r="C29" s="44" t="s">
        <v>96</v>
      </c>
      <c r="D29" s="45">
        <v>4.0999999999999996</v>
      </c>
      <c r="E29" s="45">
        <f>tblDaily[[#This Row],[年度]]/12</f>
        <v>124.70833333333331</v>
      </c>
      <c r="F29" s="45">
        <f>tblDaily[[#This Row],[每天]]*365</f>
        <v>1496.4999999999998</v>
      </c>
    </row>
    <row r="30" spans="2:6" ht="16.5" customHeight="1">
      <c r="B30" s="43" t="s">
        <v>77</v>
      </c>
      <c r="C30" s="44" t="s">
        <v>97</v>
      </c>
      <c r="D30" s="45">
        <v>16.399999999999999</v>
      </c>
      <c r="E30" s="45">
        <f>tblDaily[[#This Row],[年度]]/12</f>
        <v>498.83333333333326</v>
      </c>
      <c r="F30" s="45">
        <f>tblDaily[[#This Row],[每天]]*365</f>
        <v>5985.9999999999991</v>
      </c>
    </row>
    <row r="31" spans="2:6" ht="16.5" customHeight="1">
      <c r="B31" s="43" t="s">
        <v>77</v>
      </c>
      <c r="C31" s="44" t="s">
        <v>98</v>
      </c>
      <c r="D31" s="45">
        <v>16.399999999999999</v>
      </c>
      <c r="E31" s="45">
        <f>tblDaily[[#This Row],[年度]]/12</f>
        <v>498.83333333333326</v>
      </c>
      <c r="F31" s="45">
        <f>tblDaily[[#This Row],[每天]]*365</f>
        <v>5985.9999999999991</v>
      </c>
    </row>
    <row r="32" spans="2:6" ht="16.5" customHeight="1">
      <c r="B32" s="43" t="s">
        <v>77</v>
      </c>
      <c r="C32" s="44" t="s">
        <v>125</v>
      </c>
      <c r="D32" s="45">
        <v>41.1</v>
      </c>
      <c r="E32" s="45">
        <f>tblDaily[[#This Row],[年度]]/12</f>
        <v>1250.125</v>
      </c>
      <c r="F32" s="45">
        <f>tblDaily[[#This Row],[每天]]*365</f>
        <v>15001.5</v>
      </c>
    </row>
    <row r="33" spans="2:6" ht="16.5" customHeight="1">
      <c r="B33" s="43" t="s">
        <v>77</v>
      </c>
      <c r="C33" s="44" t="s">
        <v>99</v>
      </c>
      <c r="D33" s="45">
        <v>137</v>
      </c>
      <c r="E33" s="45">
        <f>tblDaily[[#This Row],[年度]]/12</f>
        <v>4167.083333333333</v>
      </c>
      <c r="F33" s="45">
        <f>tblDaily[[#This Row],[每天]]*365</f>
        <v>50005</v>
      </c>
    </row>
    <row r="34" spans="2:6" ht="16.5" customHeight="1">
      <c r="B34" s="43" t="s">
        <v>77</v>
      </c>
      <c r="C34" s="44" t="s">
        <v>100</v>
      </c>
      <c r="D34" s="45">
        <v>32.9</v>
      </c>
      <c r="E34" s="45">
        <f>tblDaily[[#This Row],[年度]]/12</f>
        <v>1000.7083333333334</v>
      </c>
      <c r="F34" s="45">
        <f>tblDaily[[#This Row],[每天]]*365</f>
        <v>12008.5</v>
      </c>
    </row>
    <row r="35" spans="2:6" ht="16.5" customHeight="1">
      <c r="B35" s="43" t="s">
        <v>77</v>
      </c>
      <c r="C35" s="44" t="s">
        <v>126</v>
      </c>
      <c r="D35" s="45">
        <v>16.399999999999999</v>
      </c>
      <c r="E35" s="45">
        <f>tblDaily[[#This Row],[年度]]/12</f>
        <v>498.83333333333326</v>
      </c>
      <c r="F35" s="45">
        <f>tblDaily[[#This Row],[每天]]*365</f>
        <v>5985.9999999999991</v>
      </c>
    </row>
    <row r="36" spans="2:6" ht="16.5" customHeight="1">
      <c r="B36" s="43" t="s">
        <v>77</v>
      </c>
      <c r="C36" s="44" t="s">
        <v>101</v>
      </c>
      <c r="D36" s="45">
        <v>10</v>
      </c>
      <c r="E36" s="45">
        <f>tblDaily[[#This Row],[年度]]/12</f>
        <v>304.16666666666669</v>
      </c>
      <c r="F36" s="45">
        <f>tblDaily[[#This Row],[每天]]*365</f>
        <v>3650</v>
      </c>
    </row>
    <row r="37" spans="2:6" ht="16.5" customHeight="1">
      <c r="B37" s="43" t="s">
        <v>77</v>
      </c>
      <c r="C37" s="44" t="s">
        <v>119</v>
      </c>
      <c r="D37" s="45">
        <v>0</v>
      </c>
      <c r="E37" s="45">
        <f>tblDaily[[#This Row],[年度]]/12</f>
        <v>0</v>
      </c>
      <c r="F37" s="45">
        <f>tblDaily[[#This Row],[每天]]*365</f>
        <v>0</v>
      </c>
    </row>
    <row r="38" spans="2:6" ht="16.5" customHeight="1">
      <c r="B38" s="43" t="s">
        <v>77</v>
      </c>
      <c r="C38" s="44" t="s">
        <v>120</v>
      </c>
      <c r="D38" s="45">
        <v>0</v>
      </c>
      <c r="E38" s="45">
        <f>tblDaily[[#This Row],[年度]]/12</f>
        <v>0</v>
      </c>
      <c r="F38" s="45">
        <f>tblDaily[[#This Row],[每天]]*365</f>
        <v>0</v>
      </c>
    </row>
    <row r="39" spans="2:6" ht="16.5" customHeight="1">
      <c r="B39" s="43" t="s">
        <v>77</v>
      </c>
      <c r="C39" s="44" t="s">
        <v>121</v>
      </c>
      <c r="D39" s="45">
        <v>0</v>
      </c>
      <c r="E39" s="45">
        <f>tblDaily[[#This Row],[年度]]/12</f>
        <v>0</v>
      </c>
      <c r="F39" s="45">
        <f>tblDaily[[#This Row],[每天]]*365</f>
        <v>0</v>
      </c>
    </row>
    <row r="40" spans="2:6" ht="16.5" customHeight="1">
      <c r="B40" s="43" t="s">
        <v>78</v>
      </c>
      <c r="C40" s="44" t="s">
        <v>102</v>
      </c>
      <c r="D40" s="45">
        <v>32.9</v>
      </c>
      <c r="E40" s="45">
        <f>tblDaily[[#This Row],[年度]]/12</f>
        <v>1000.7083333333334</v>
      </c>
      <c r="F40" s="45">
        <f>tblDaily[[#This Row],[每天]]*365</f>
        <v>12008.5</v>
      </c>
    </row>
    <row r="41" spans="2:6" ht="16.5" customHeight="1">
      <c r="B41" s="43" t="s">
        <v>78</v>
      </c>
      <c r="C41" s="44" t="s">
        <v>103</v>
      </c>
      <c r="D41" s="45">
        <v>16.399999999999999</v>
      </c>
      <c r="E41" s="45">
        <f>tblDaily[[#This Row],[年度]]/12</f>
        <v>498.83333333333326</v>
      </c>
      <c r="F41" s="45">
        <f>tblDaily[[#This Row],[每天]]*365</f>
        <v>5985.9999999999991</v>
      </c>
    </row>
    <row r="42" spans="2:6" ht="16.5" customHeight="1">
      <c r="B42" s="43" t="s">
        <v>78</v>
      </c>
      <c r="C42" s="44" t="s">
        <v>104</v>
      </c>
      <c r="D42" s="45">
        <v>61.6</v>
      </c>
      <c r="E42" s="45">
        <f>tblDaily[[#This Row],[年度]]/12</f>
        <v>1873.6666666666667</v>
      </c>
      <c r="F42" s="45">
        <f>tblDaily[[#This Row],[每天]]*365</f>
        <v>22484</v>
      </c>
    </row>
    <row r="43" spans="2:6" ht="16.5" customHeight="1">
      <c r="B43" s="43" t="s">
        <v>78</v>
      </c>
      <c r="C43" s="44" t="s">
        <v>105</v>
      </c>
      <c r="D43" s="45">
        <v>32.9</v>
      </c>
      <c r="E43" s="45">
        <f>tblDaily[[#This Row],[年度]]/12</f>
        <v>1000.7083333333334</v>
      </c>
      <c r="F43" s="45">
        <f>tblDaily[[#This Row],[每天]]*365</f>
        <v>12008.5</v>
      </c>
    </row>
    <row r="44" spans="2:6" ht="16.5" customHeight="1">
      <c r="B44" s="43" t="s">
        <v>78</v>
      </c>
      <c r="C44" s="44" t="s">
        <v>106</v>
      </c>
      <c r="D44" s="45">
        <v>8.1999999999999993</v>
      </c>
      <c r="E44" s="45">
        <f>tblDaily[[#This Row],[年度]]/12</f>
        <v>249.41666666666663</v>
      </c>
      <c r="F44" s="45">
        <f>tblDaily[[#This Row],[每天]]*365</f>
        <v>2992.9999999999995</v>
      </c>
    </row>
    <row r="45" spans="2:6" ht="16.5" customHeight="1">
      <c r="B45" s="43" t="s">
        <v>78</v>
      </c>
      <c r="C45" s="44" t="s">
        <v>107</v>
      </c>
      <c r="D45" s="45">
        <v>54.8</v>
      </c>
      <c r="E45" s="45">
        <f>tblDaily[[#This Row],[年度]]/12</f>
        <v>1666.8333333333333</v>
      </c>
      <c r="F45" s="45">
        <f>tblDaily[[#This Row],[每天]]*365</f>
        <v>20002</v>
      </c>
    </row>
    <row r="46" spans="2:6" ht="16.5" customHeight="1">
      <c r="B46" s="43" t="s">
        <v>78</v>
      </c>
      <c r="C46" s="44" t="s">
        <v>108</v>
      </c>
      <c r="D46" s="45">
        <v>16.399999999999999</v>
      </c>
      <c r="E46" s="45">
        <f>tblDaily[[#This Row],[年度]]/12</f>
        <v>498.83333333333326</v>
      </c>
      <c r="F46" s="45">
        <f>tblDaily[[#This Row],[每天]]*365</f>
        <v>5985.9999999999991</v>
      </c>
    </row>
    <row r="47" spans="2:6" ht="16.5" customHeight="1">
      <c r="B47" s="43" t="s">
        <v>78</v>
      </c>
      <c r="C47" s="44" t="s">
        <v>127</v>
      </c>
      <c r="D47" s="45">
        <v>8.1999999999999993</v>
      </c>
      <c r="E47" s="45">
        <f>tblDaily[[#This Row],[年度]]/12</f>
        <v>249.41666666666663</v>
      </c>
      <c r="F47" s="45">
        <f>tblDaily[[#This Row],[每天]]*365</f>
        <v>2992.9999999999995</v>
      </c>
    </row>
    <row r="48" spans="2:6" ht="16.5" customHeight="1">
      <c r="B48" s="43" t="s">
        <v>78</v>
      </c>
      <c r="C48" s="44" t="s">
        <v>109</v>
      </c>
      <c r="D48" s="45">
        <v>131.5</v>
      </c>
      <c r="E48" s="45">
        <f>tblDaily[[#This Row],[年度]]/12</f>
        <v>3999.7916666666665</v>
      </c>
      <c r="F48" s="45">
        <f>tblDaily[[#This Row],[每天]]*365</f>
        <v>47997.5</v>
      </c>
    </row>
    <row r="49" spans="2:6" ht="16.5" customHeight="1">
      <c r="B49" s="43" t="s">
        <v>78</v>
      </c>
      <c r="C49" s="44" t="s">
        <v>118</v>
      </c>
      <c r="D49" s="45">
        <v>0</v>
      </c>
      <c r="E49" s="45">
        <f>tblDaily[[#This Row],[年度]]/12</f>
        <v>0</v>
      </c>
      <c r="F49" s="45">
        <f>tblDaily[[#This Row],[每天]]*365</f>
        <v>0</v>
      </c>
    </row>
    <row r="50" spans="2:6" ht="16.5" customHeight="1">
      <c r="B50" s="43" t="s">
        <v>78</v>
      </c>
      <c r="C50" s="44" t="s">
        <v>119</v>
      </c>
      <c r="D50" s="45">
        <v>0</v>
      </c>
      <c r="E50" s="45">
        <f>tblDaily[[#This Row],[年度]]/12</f>
        <v>0</v>
      </c>
      <c r="F50" s="45">
        <f>tblDaily[[#This Row],[每天]]*365</f>
        <v>0</v>
      </c>
    </row>
    <row r="51" spans="2:6" ht="16.5" customHeight="1">
      <c r="B51" s="43" t="s">
        <v>79</v>
      </c>
      <c r="C51" s="44" t="s">
        <v>110</v>
      </c>
      <c r="D51" s="45">
        <v>137</v>
      </c>
      <c r="E51" s="45">
        <f>tblDaily[[#This Row],[年度]]/12</f>
        <v>4167.083333333333</v>
      </c>
      <c r="F51" s="45">
        <f>tblDaily[[#This Row],[每天]]*365</f>
        <v>50005</v>
      </c>
    </row>
    <row r="52" spans="2:6" ht="16.5" customHeight="1">
      <c r="B52" s="43" t="s">
        <v>79</v>
      </c>
      <c r="C52" s="44" t="s">
        <v>111</v>
      </c>
      <c r="D52" s="45">
        <v>328.8</v>
      </c>
      <c r="E52" s="45">
        <f>tblDaily[[#This Row],[年度]]/12</f>
        <v>10001</v>
      </c>
      <c r="F52" s="45">
        <f>tblDaily[[#This Row],[每天]]*365</f>
        <v>120012</v>
      </c>
    </row>
    <row r="53" spans="2:6" ht="16.5" customHeight="1">
      <c r="B53" s="43" t="s">
        <v>79</v>
      </c>
      <c r="C53" s="44" t="s">
        <v>128</v>
      </c>
      <c r="D53" s="45">
        <v>164.4</v>
      </c>
      <c r="E53" s="45">
        <f>tblDaily[[#This Row],[年度]]/12</f>
        <v>5000.5</v>
      </c>
      <c r="F53" s="45">
        <f>tblDaily[[#This Row],[每天]]*365</f>
        <v>60006</v>
      </c>
    </row>
    <row r="54" spans="2:6" ht="16.5" customHeight="1">
      <c r="B54" s="43" t="s">
        <v>79</v>
      </c>
      <c r="C54" s="44" t="s">
        <v>118</v>
      </c>
      <c r="D54" s="45">
        <v>0</v>
      </c>
      <c r="E54" s="45">
        <f>tblDaily[[#This Row],[年度]]/12</f>
        <v>0</v>
      </c>
      <c r="F54" s="45">
        <f>tblDaily[[#This Row],[每天]]*365</f>
        <v>0</v>
      </c>
    </row>
    <row r="55" spans="2:6" ht="16.5" customHeight="1">
      <c r="B55" s="43" t="s">
        <v>79</v>
      </c>
      <c r="C55" s="44" t="s">
        <v>119</v>
      </c>
      <c r="D55" s="45">
        <v>0</v>
      </c>
      <c r="E55" s="45">
        <f>tblDaily[[#This Row],[年度]]/12</f>
        <v>0</v>
      </c>
      <c r="F55" s="45">
        <f>tblDaily[[#This Row],[每天]]*365</f>
        <v>0</v>
      </c>
    </row>
    <row r="56" spans="2:6" ht="16.5" customHeight="1">
      <c r="B56" s="46" t="s">
        <v>115</v>
      </c>
      <c r="C56" s="47"/>
      <c r="D56" s="45">
        <f>SUMIF(tblDaily[[ 类型]],"收入",tblDaily[每天])-SUMIF(tblDaily[[ 类型]],"&lt;&gt;收入",tblDaily[每天])</f>
        <v>1070.9999999999995</v>
      </c>
      <c r="E56" s="45">
        <f>SUMIF(tblDaily[[ 类型]],"收入",tblDaily[每月])-SUMIF(tblDaily[[ 类型]],"&lt;&gt;收入",tblDaily[每月])</f>
        <v>32576.249999999985</v>
      </c>
      <c r="F56" s="45">
        <f>SUMIF(tblDaily[[ 类型]],"收入",tblDaily[年度])-SUMIF(tblDaily[[ 类型]],"&lt;&gt;收入",tblDaily[年度])</f>
        <v>390915</v>
      </c>
    </row>
  </sheetData>
  <mergeCells count="3">
    <mergeCell ref="B2:F2"/>
    <mergeCell ref="H2:Q2"/>
    <mergeCell ref="B10:F10"/>
  </mergeCells>
  <phoneticPr fontId="8" type="noConversion"/>
  <conditionalFormatting sqref="D13:F56">
    <cfRule type="expression" dxfId="35" priority="1">
      <formula>(MOD(ROW(),2)=0)*($B13&lt;&gt;"收入")</formula>
    </cfRule>
    <cfRule type="expression" dxfId="34" priority="8">
      <formula>(MOD(ROW(),2)=0)*($B13="收入")</formula>
    </cfRule>
  </conditionalFormatting>
  <conditionalFormatting sqref="F13:F56">
    <cfRule type="expression" dxfId="33" priority="2">
      <formula>(MOD(ROW(),2)&lt;&gt;0)*($B13&lt;&gt;"收入")</formula>
    </cfRule>
    <cfRule type="expression" dxfId="32" priority="5">
      <formula>(MOD(ROW(),2)&lt;&gt;0)*($B13="收入")</formula>
    </cfRule>
  </conditionalFormatting>
  <conditionalFormatting sqref="E13:E56">
    <cfRule type="expression" dxfId="31" priority="3">
      <formula>(MOD(ROW(),2)&lt;&gt;0)*($B13&lt;&gt;"收入")</formula>
    </cfRule>
    <cfRule type="expression" dxfId="30" priority="6">
      <formula>(MOD(ROW(),2)&lt;&gt;0)*($B13="收入")</formula>
    </cfRule>
  </conditionalFormatting>
  <conditionalFormatting sqref="D13:D56">
    <cfRule type="expression" dxfId="29" priority="4">
      <formula>(MOD(ROW(),2)&lt;&gt;0)*($B13&lt;&gt;"收入")</formula>
    </cfRule>
    <cfRule type="expression" dxfId="28" priority="7">
      <formula>(MOD(ROW(),2)&lt;&gt;0)*($B13="收入")</formula>
    </cfRule>
  </conditionalFormatting>
  <conditionalFormatting sqref="B13:C56">
    <cfRule type="expression" dxfId="27" priority="9">
      <formula>(MOD(ROW(),2)&lt;&gt;0)*($B13="收入")</formula>
    </cfRule>
    <cfRule type="expression" dxfId="26" priority="10">
      <formula>(MOD(ROW(),2)=0)*($B13="收入")</formula>
    </cfRule>
  </conditionalFormatting>
  <dataValidations count="2">
    <dataValidation type="list" allowBlank="1" showInputMessage="1" showErrorMessage="1" sqref="B14:B55">
      <formula1>"收入,支出,可支配,储蓄"</formula1>
    </dataValidation>
    <dataValidation type="list" allowBlank="1" showInputMessage="1" showErrorMessage="1" sqref="B13">
      <formula1>"收入,支出,可支配,储蓄"</formula1>
    </dataValidation>
  </dataValidations>
  <pageMargins left="0.25" right="0.25" top="0.75" bottom="0.75" header="0.3" footer="0.3"/>
  <pageSetup fitToHeight="0" orientation="landscape" r:id="rId1"/>
  <rowBreaks count="1" manualBreakCount="1">
    <brk id="45" max="16383" man="1"/>
  </rowBreaks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905c3888-6285-45d0-bd76-60a9ac2d738c" xsi:nil="true"/>
    <AssetExpire xmlns="905c3888-6285-45d0-bd76-60a9ac2d738c">2029-01-01T08:00:00+00:00</AssetExpire>
    <CampaignTagsTaxHTField0 xmlns="905c3888-6285-45d0-bd76-60a9ac2d738c">
      <Terms xmlns="http://schemas.microsoft.com/office/infopath/2007/PartnerControls"/>
    </CampaignTagsTaxHTField0>
    <IntlLangReviewDate xmlns="905c3888-6285-45d0-bd76-60a9ac2d738c" xsi:nil="true"/>
    <TPFriendlyName xmlns="905c3888-6285-45d0-bd76-60a9ac2d738c" xsi:nil="true"/>
    <IntlLangReview xmlns="905c3888-6285-45d0-bd76-60a9ac2d738c">false</IntlLangReview>
    <LocLastLocAttemptVersionLookup xmlns="905c3888-6285-45d0-bd76-60a9ac2d738c">848678</LocLastLocAttemptVersionLookup>
    <PolicheckWords xmlns="905c3888-6285-45d0-bd76-60a9ac2d738c" xsi:nil="true"/>
    <SubmitterId xmlns="905c3888-6285-45d0-bd76-60a9ac2d738c" xsi:nil="true"/>
    <AcquiredFrom xmlns="905c3888-6285-45d0-bd76-60a9ac2d738c">Internal MS</AcquiredFrom>
    <EditorialStatus xmlns="905c3888-6285-45d0-bd76-60a9ac2d738c">Complete</EditorialStatus>
    <Markets xmlns="905c3888-6285-45d0-bd76-60a9ac2d738c"/>
    <OriginAsset xmlns="905c3888-6285-45d0-bd76-60a9ac2d738c" xsi:nil="true"/>
    <AssetStart xmlns="905c3888-6285-45d0-bd76-60a9ac2d738c">2012-07-27T02:54:00+00:00</AssetStart>
    <FriendlyTitle xmlns="905c3888-6285-45d0-bd76-60a9ac2d738c" xsi:nil="true"/>
    <MarketSpecific xmlns="905c3888-6285-45d0-bd76-60a9ac2d738c">false</MarketSpecific>
    <TPNamespace xmlns="905c3888-6285-45d0-bd76-60a9ac2d738c" xsi:nil="true"/>
    <PublishStatusLookup xmlns="905c3888-6285-45d0-bd76-60a9ac2d738c">
      <Value>480195</Value>
    </PublishStatusLookup>
    <APAuthor xmlns="905c3888-6285-45d0-bd76-60a9ac2d738c">
      <UserInfo>
        <DisplayName>REDMOND\v-sa</DisplayName>
        <AccountId>2467</AccountId>
        <AccountType/>
      </UserInfo>
    </APAuthor>
    <TPCommandLine xmlns="905c3888-6285-45d0-bd76-60a9ac2d738c" xsi:nil="true"/>
    <IntlLangReviewer xmlns="905c3888-6285-45d0-bd76-60a9ac2d738c" xsi:nil="true"/>
    <OpenTemplate xmlns="905c3888-6285-45d0-bd76-60a9ac2d738c">true</OpenTemplate>
    <CSXSubmissionDate xmlns="905c3888-6285-45d0-bd76-60a9ac2d738c" xsi:nil="true"/>
    <TaxCatchAll xmlns="905c3888-6285-45d0-bd76-60a9ac2d738c"/>
    <Manager xmlns="905c3888-6285-45d0-bd76-60a9ac2d738c" xsi:nil="true"/>
    <NumericId xmlns="905c3888-6285-45d0-bd76-60a9ac2d738c" xsi:nil="true"/>
    <ParentAssetId xmlns="905c3888-6285-45d0-bd76-60a9ac2d738c" xsi:nil="true"/>
    <OriginalSourceMarket xmlns="905c3888-6285-45d0-bd76-60a9ac2d738c">english</OriginalSourceMarket>
    <ApprovalStatus xmlns="905c3888-6285-45d0-bd76-60a9ac2d738c">InProgress</ApprovalStatus>
    <TPComponent xmlns="905c3888-6285-45d0-bd76-60a9ac2d738c" xsi:nil="true"/>
    <EditorialTags xmlns="905c3888-6285-45d0-bd76-60a9ac2d738c" xsi:nil="true"/>
    <TPExecutable xmlns="905c3888-6285-45d0-bd76-60a9ac2d738c" xsi:nil="true"/>
    <TPLaunchHelpLink xmlns="905c3888-6285-45d0-bd76-60a9ac2d738c" xsi:nil="true"/>
    <LocComments xmlns="905c3888-6285-45d0-bd76-60a9ac2d738c" xsi:nil="true"/>
    <LocRecommendedHandoff xmlns="905c3888-6285-45d0-bd76-60a9ac2d738c" xsi:nil="true"/>
    <SourceTitle xmlns="905c3888-6285-45d0-bd76-60a9ac2d738c" xsi:nil="true"/>
    <CSXUpdate xmlns="905c3888-6285-45d0-bd76-60a9ac2d738c">false</CSXUpdate>
    <IntlLocPriority xmlns="905c3888-6285-45d0-bd76-60a9ac2d738c" xsi:nil="true"/>
    <UAProjectedTotalWords xmlns="905c3888-6285-45d0-bd76-60a9ac2d738c" xsi:nil="true"/>
    <AssetType xmlns="905c3888-6285-45d0-bd76-60a9ac2d738c">TP</AssetType>
    <MachineTranslated xmlns="905c3888-6285-45d0-bd76-60a9ac2d738c">false</MachineTranslated>
    <OutputCachingOn xmlns="905c3888-6285-45d0-bd76-60a9ac2d738c">false</OutputCachingOn>
    <TemplateStatus xmlns="905c3888-6285-45d0-bd76-60a9ac2d738c">Complete</TemplateStatus>
    <IsSearchable xmlns="905c3888-6285-45d0-bd76-60a9ac2d738c">true</IsSearchable>
    <ContentItem xmlns="905c3888-6285-45d0-bd76-60a9ac2d738c" xsi:nil="true"/>
    <HandoffToMSDN xmlns="905c3888-6285-45d0-bd76-60a9ac2d738c" xsi:nil="true"/>
    <ShowIn xmlns="905c3888-6285-45d0-bd76-60a9ac2d738c">Show everywhere</ShowIn>
    <ThumbnailAssetId xmlns="905c3888-6285-45d0-bd76-60a9ac2d738c" xsi:nil="true"/>
    <UALocComments xmlns="905c3888-6285-45d0-bd76-60a9ac2d738c" xsi:nil="true"/>
    <UALocRecommendation xmlns="905c3888-6285-45d0-bd76-60a9ac2d738c">Localize</UALocRecommendation>
    <LastModifiedDateTime xmlns="905c3888-6285-45d0-bd76-60a9ac2d738c" xsi:nil="true"/>
    <LegacyData xmlns="905c3888-6285-45d0-bd76-60a9ac2d738c" xsi:nil="true"/>
    <LocManualTestRequired xmlns="905c3888-6285-45d0-bd76-60a9ac2d738c">false</LocManualTestRequired>
    <LocMarketGroupTiers2 xmlns="905c3888-6285-45d0-bd76-60a9ac2d738c" xsi:nil="true"/>
    <ClipArtFilename xmlns="905c3888-6285-45d0-bd76-60a9ac2d738c" xsi:nil="true"/>
    <TPApplication xmlns="905c3888-6285-45d0-bd76-60a9ac2d738c" xsi:nil="true"/>
    <CSXHash xmlns="905c3888-6285-45d0-bd76-60a9ac2d738c" xsi:nil="true"/>
    <DirectSourceMarket xmlns="905c3888-6285-45d0-bd76-60a9ac2d738c">english</DirectSourceMarket>
    <PrimaryImageGen xmlns="905c3888-6285-45d0-bd76-60a9ac2d738c">false</PrimaryImageGen>
    <PlannedPubDate xmlns="905c3888-6285-45d0-bd76-60a9ac2d738c" xsi:nil="true"/>
    <CSXSubmissionMarket xmlns="905c3888-6285-45d0-bd76-60a9ac2d738c" xsi:nil="true"/>
    <Downloads xmlns="905c3888-6285-45d0-bd76-60a9ac2d738c">0</Downloads>
    <ArtSampleDocs xmlns="905c3888-6285-45d0-bd76-60a9ac2d738c" xsi:nil="true"/>
    <TrustLevel xmlns="905c3888-6285-45d0-bd76-60a9ac2d738c">1 Microsoft Managed Content</TrustLevel>
    <BlockPublish xmlns="905c3888-6285-45d0-bd76-60a9ac2d738c">false</BlockPublish>
    <TPLaunchHelpLinkType xmlns="905c3888-6285-45d0-bd76-60a9ac2d738c">Template</TPLaunchHelpLinkType>
    <LocalizationTagsTaxHTField0 xmlns="905c3888-6285-45d0-bd76-60a9ac2d738c">
      <Terms xmlns="http://schemas.microsoft.com/office/infopath/2007/PartnerControls"/>
    </LocalizationTagsTaxHTField0>
    <BusinessGroup xmlns="905c3888-6285-45d0-bd76-60a9ac2d738c" xsi:nil="true"/>
    <Providers xmlns="905c3888-6285-45d0-bd76-60a9ac2d738c" xsi:nil="true"/>
    <TemplateTemplateType xmlns="905c3888-6285-45d0-bd76-60a9ac2d738c">Excel 2007 Default</TemplateTemplateType>
    <TimesCloned xmlns="905c3888-6285-45d0-bd76-60a9ac2d738c" xsi:nil="true"/>
    <TPAppVersion xmlns="905c3888-6285-45d0-bd76-60a9ac2d738c" xsi:nil="true"/>
    <VoteCount xmlns="905c3888-6285-45d0-bd76-60a9ac2d738c" xsi:nil="true"/>
    <AverageRating xmlns="905c3888-6285-45d0-bd76-60a9ac2d738c" xsi:nil="true"/>
    <FeatureTagsTaxHTField0 xmlns="905c3888-6285-45d0-bd76-60a9ac2d738c">
      <Terms xmlns="http://schemas.microsoft.com/office/infopath/2007/PartnerControls"/>
    </FeatureTagsTaxHTField0>
    <Provider xmlns="905c3888-6285-45d0-bd76-60a9ac2d738c" xsi:nil="true"/>
    <UACurrentWords xmlns="905c3888-6285-45d0-bd76-60a9ac2d738c" xsi:nil="true"/>
    <AssetId xmlns="905c3888-6285-45d0-bd76-60a9ac2d738c">TP103107653</AssetId>
    <TPClientViewer xmlns="905c3888-6285-45d0-bd76-60a9ac2d738c" xsi:nil="true"/>
    <DSATActionTaken xmlns="905c3888-6285-45d0-bd76-60a9ac2d738c" xsi:nil="true"/>
    <APEditor xmlns="905c3888-6285-45d0-bd76-60a9ac2d738c">
      <UserInfo>
        <DisplayName/>
        <AccountId xsi:nil="true"/>
        <AccountType/>
      </UserInfo>
    </APEditor>
    <TPInstallLocation xmlns="905c3888-6285-45d0-bd76-60a9ac2d738c" xsi:nil="true"/>
    <OOCacheId xmlns="905c3888-6285-45d0-bd76-60a9ac2d738c" xsi:nil="true"/>
    <IsDeleted xmlns="905c3888-6285-45d0-bd76-60a9ac2d738c">false</IsDeleted>
    <PublishTargets xmlns="905c3888-6285-45d0-bd76-60a9ac2d738c">OfficeOnlineVNext</PublishTargets>
    <ApprovalLog xmlns="905c3888-6285-45d0-bd76-60a9ac2d738c" xsi:nil="true"/>
    <BugNumber xmlns="905c3888-6285-45d0-bd76-60a9ac2d738c" xsi:nil="true"/>
    <CrawlForDependencies xmlns="905c3888-6285-45d0-bd76-60a9ac2d738c">false</CrawlForDependencies>
    <InternalTagsTaxHTField0 xmlns="905c3888-6285-45d0-bd76-60a9ac2d738c">
      <Terms xmlns="http://schemas.microsoft.com/office/infopath/2007/PartnerControls"/>
    </InternalTagsTaxHTField0>
    <LastHandOff xmlns="905c3888-6285-45d0-bd76-60a9ac2d738c" xsi:nil="true"/>
    <Milestone xmlns="905c3888-6285-45d0-bd76-60a9ac2d738c" xsi:nil="true"/>
    <OriginalRelease xmlns="905c3888-6285-45d0-bd76-60a9ac2d738c">15</OriginalRelease>
    <RecommendationsModifier xmlns="905c3888-6285-45d0-bd76-60a9ac2d738c" xsi:nil="true"/>
    <ScenarioTagsTaxHTField0 xmlns="905c3888-6285-45d0-bd76-60a9ac2d738c">
      <Terms xmlns="http://schemas.microsoft.com/office/infopath/2007/PartnerControls"/>
    </ScenarioTagsTaxHTField0>
    <UANotes xmlns="905c3888-6285-45d0-bd76-60a9ac2d738c" xsi:nil="true"/>
    <Description0 xmlns="a0b64b53-fba7-43ca-b952-90e5e74773dd" xsi:nil="true"/>
    <Component0 xmlns="a0b64b53-fba7-43ca-b952-90e5e74773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E16FB8D-E466-4062-9615-21D08252E2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5c3888-6285-45d0-bd76-60a9ac2d738c"/>
    <ds:schemaRef ds:uri="a0b64b53-fba7-43ca-b952-90e5e7477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0EDC96-2002-4DF1-ACDC-B42F339A6FBA}">
  <ds:schemaRefs>
    <ds:schemaRef ds:uri="http://schemas.microsoft.com/office/2006/metadata/properties"/>
    <ds:schemaRef ds:uri="http://schemas.microsoft.com/office/infopath/2007/PartnerControls"/>
    <ds:schemaRef ds:uri="905c3888-6285-45d0-bd76-60a9ac2d738c"/>
    <ds:schemaRef ds:uri="a0b64b53-fba7-43ca-b952-90e5e74773dd"/>
  </ds:schemaRefs>
</ds:datastoreItem>
</file>

<file path=customXml/itemProps3.xml><?xml version="1.0" encoding="utf-8"?>
<ds:datastoreItem xmlns:ds="http://schemas.openxmlformats.org/officeDocument/2006/customXml" ds:itemID="{D17A89AD-7C17-4D39-9F87-A4BF75A997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指南</vt:lpstr>
      <vt:lpstr>年度现金流量</vt:lpstr>
      <vt:lpstr>每月现金流量</vt:lpstr>
      <vt:lpstr>每天现金流量</vt:lpstr>
      <vt:lpstr>MonthlyCashFlowToDate</vt:lpstr>
      <vt:lpstr>年度现金流量!Print_Area</vt:lpstr>
      <vt:lpstr>指南!Print_Area</vt:lpstr>
      <vt:lpstr>每天现金流量!Print_Area</vt:lpstr>
      <vt:lpstr>每月现金流量!Print_Area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2012-07-26T19:57:19Z</dcterms:created>
  <dcterms:modified xsi:type="dcterms:W3CDTF">2012-12-07T19:26:50Z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